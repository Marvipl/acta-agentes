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Mao_de_obra" sheetId="3" state="visible" r:id="rId3"/>
    <sheet xmlns:r="http://schemas.openxmlformats.org/officeDocument/2006/relationships" name="Custos" sheetId="4" state="visible" r:id="rId4"/>
    <sheet xmlns:r="http://schemas.openxmlformats.org/officeDocument/2006/relationships" name="Cronograma" sheetId="5" state="visible" r:id="rId5"/>
    <sheet xmlns:r="http://schemas.openxmlformats.org/officeDocument/2006/relationships" name="Histograma" sheetId="6" state="visible" r:id="rId6"/>
    <sheet xmlns:r="http://schemas.openxmlformats.org/officeDocument/2006/relationships" name="Fluxo_de_caixa" sheetId="7" state="visible" r:id="rId7"/>
    <sheet xmlns:r="http://schemas.openxmlformats.org/officeDocument/2006/relationships" name="DRE" sheetId="8" state="visible" r:id="rId8"/>
    <sheet xmlns:r="http://schemas.openxmlformats.org/officeDocument/2006/relationships" name="Marcos" sheetId="9" state="visible" r:id="rId9"/>
    <sheet xmlns:r="http://schemas.openxmlformats.org/officeDocument/2006/relationships" name="Monte_Carlo" sheetId="10" state="visible" r:id="rId10"/>
    <sheet xmlns:r="http://schemas.openxmlformats.org/officeDocument/2006/relationships" name="Riscos" sheetId="11" state="visible" r:id="rId11"/>
    <sheet xmlns:r="http://schemas.openxmlformats.org/officeDocument/2006/relationships" name="Premissa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.00;(&quot;R$&quot; #,##0.00);-"/>
    <numFmt numFmtId="165" formatCode="#,##0.0"/>
    <numFmt numFmtId="166" formatCode="0.0%;(0.0%);-"/>
    <numFmt numFmtId="167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8000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11626"/>
      </patternFill>
    </fill>
    <fill>
      <patternFill patternType="solid">
        <fgColor rgb="00F4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0" pivotButton="0" quotePrefix="0" xfId="0"/>
    <xf numFmtId="164" fontId="4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6" fontId="4" fillId="0" borderId="0" pivotButton="0" quotePrefix="0" xfId="0"/>
    <xf numFmtId="167" fontId="3" fillId="0" borderId="0" pivotButton="0" quotePrefix="0" xfId="0"/>
    <xf numFmtId="3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4" fontId="5" fillId="0" borderId="0" pivotButton="0" quotePrefix="0" xfId="0"/>
    <xf numFmtId="0" fontId="2" fillId="3" borderId="0" pivotButton="0" quotePrefix="0" xfId="0"/>
    <xf numFmtId="164" fontId="4" fillId="3" borderId="0" pivotButton="0" quotePrefix="0" xfId="0"/>
    <xf numFmtId="166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Projeto</t>
        </is>
      </c>
      <c r="B2" s="2" t="inlineStr">
        <is>
          <t>None – None</t>
        </is>
      </c>
    </row>
    <row r="3">
      <c r="A3" s="2" t="inlineStr">
        <is>
          <t>Versão / modo</t>
        </is>
      </c>
      <c r="B3" s="2" t="inlineStr">
        <is>
          <t>vNone / None</t>
        </is>
      </c>
    </row>
    <row r="4">
      <c r="A4" s="2" t="inlineStr">
        <is>
          <t>Classe da estimativa (AACE)</t>
        </is>
      </c>
      <c r="B4" s="2" t="n"/>
    </row>
    <row r="5">
      <c r="A5" s="2" t="inlineStr">
        <is>
          <t>Data-base</t>
        </is>
      </c>
      <c r="B5" s="2" t="n"/>
    </row>
    <row r="6">
      <c r="A6" s="2" t="inlineStr">
        <is>
          <t>Custo base</t>
        </is>
      </c>
      <c r="B6" s="3">
        <f>Custos!D8</f>
        <v/>
      </c>
    </row>
    <row r="7">
      <c r="A7" s="2" t="inlineStr">
        <is>
          <t>Contingência</t>
        </is>
      </c>
      <c r="B7" s="4" t="n">
        <v>0</v>
      </c>
    </row>
    <row r="8">
      <c r="A8" s="2" t="inlineStr">
        <is>
          <t>Custo P50 (Monte Carlo)</t>
        </is>
      </c>
      <c r="B8" s="4" t="n">
        <v>0</v>
      </c>
    </row>
    <row r="9">
      <c r="A9" s="2" t="inlineStr">
        <is>
          <t>Custo P80 (Monte Carlo)</t>
        </is>
      </c>
      <c r="B9" s="4" t="n">
        <v>0</v>
      </c>
    </row>
    <row r="10">
      <c r="A10" s="2" t="inlineStr">
        <is>
          <t>Preço sugerido</t>
        </is>
      </c>
      <c r="B10" s="4" t="n"/>
    </row>
    <row r="11">
      <c r="A11" s="2" t="inlineStr">
        <is>
          <t>Preço mínimo (walk-away)</t>
        </is>
      </c>
      <c r="B11" s="4" t="n"/>
    </row>
    <row r="12">
      <c r="A12" s="2" t="inlineStr">
        <is>
          <t>Receita de implantação usada</t>
        </is>
      </c>
      <c r="B12" s="4" t="n"/>
    </row>
    <row r="13">
      <c r="A13" s="2" t="inlineStr">
        <is>
          <t>Origem da receita</t>
        </is>
      </c>
      <c r="B13" s="2" t="inlineStr">
        <is>
          <t>preco_sugerido</t>
        </is>
      </c>
    </row>
    <row r="14">
      <c r="A14" s="2" t="inlineStr">
        <is>
          <t>Margem resultante</t>
        </is>
      </c>
      <c r="B14" s="5" t="n"/>
    </row>
    <row r="15">
      <c r="A15" s="2" t="inlineStr">
        <is>
          <t>Resultado do projeto (DRE)</t>
        </is>
      </c>
      <c r="B15" s="3">
        <f>DRE!B15</f>
        <v/>
      </c>
    </row>
    <row r="16">
      <c r="A16" s="2" t="inlineStr">
        <is>
          <t>Margem líquida (DRE)</t>
        </is>
      </c>
      <c r="B16" s="6">
        <f>DRE!C15</f>
        <v/>
      </c>
    </row>
    <row r="17">
      <c r="A17" s="2" t="inlineStr">
        <is>
          <t>Exposição máxima de caixa</t>
        </is>
      </c>
      <c r="B17" s="4" t="n">
        <v>0</v>
      </c>
    </row>
    <row r="18">
      <c r="A18" s="2" t="inlineStr">
        <is>
          <t>Mês do pico de exposição</t>
        </is>
      </c>
      <c r="B18" s="2" t="inlineStr">
        <is>
          <t>2000-01</t>
        </is>
      </c>
    </row>
    <row r="19">
      <c r="A19" s="2" t="inlineStr">
        <is>
          <t>Payback</t>
        </is>
      </c>
      <c r="B19" s="2" t="inlineStr">
        <is>
          <t>não ocorre no horizonte</t>
        </is>
      </c>
    </row>
    <row r="20">
      <c r="A20" s="2" t="inlineStr">
        <is>
          <t>VPL ao custo de capital</t>
        </is>
      </c>
      <c r="B20" s="4" t="n"/>
    </row>
    <row r="21">
      <c r="A21" s="2" t="inlineStr">
        <is>
          <t>TIR anual</t>
        </is>
      </c>
      <c r="B21" s="5" t="n"/>
    </row>
    <row r="22">
      <c r="A22" s="2" t="inlineStr">
        <is>
          <t>Prazo provável (meses)</t>
        </is>
      </c>
      <c r="B22" s="7" t="n">
        <v>0</v>
      </c>
    </row>
    <row r="23">
      <c r="A23" s="2" t="inlineStr">
        <is>
          <t>Prazo P80 (dias)</t>
        </is>
      </c>
      <c r="B23" s="8" t="n">
        <v>0</v>
      </c>
    </row>
    <row r="25">
      <c r="A25" s="9" t="inlineStr">
        <is>
          <t>Alertas do motor</t>
        </is>
      </c>
    </row>
    <row r="26">
      <c r="A26" s="2" t="inlineStr">
        <is>
          <t>custos_indiretos.overhead_pct não definido (rateio de estrutura); usado 0</t>
        </is>
      </c>
    </row>
    <row r="27">
      <c r="A27" s="2" t="inlineStr">
        <is>
          <t>financeiro.custo_capital_aa não definido; custo financeiro = 0</t>
        </is>
      </c>
    </row>
    <row r="29">
      <c r="A29" s="2" t="inlineStr">
        <is>
          <t>Legenda: azul = premissa dos nós; preto = fórmula; verde = vínculo entre abas. Edite os nós, não a planilha.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ID</t>
        </is>
      </c>
      <c r="B1" s="1" t="inlineStr">
        <is>
          <t>Descrição</t>
        </is>
      </c>
      <c r="C1" s="1" t="inlineStr">
        <is>
          <t>Qtd</t>
        </is>
      </c>
      <c r="D1" s="1" t="inlineStr">
        <is>
          <t>Moeda</t>
        </is>
      </c>
      <c r="E1" s="1" t="inlineStr">
        <is>
          <t>Preço unit. (moeda)</t>
        </is>
      </c>
      <c r="F1" s="1" t="inlineStr">
        <is>
          <t>Câmbio</t>
        </is>
      </c>
      <c r="G1" s="1" t="inlineStr">
        <is>
          <t>Alíq. aquisição</t>
        </is>
      </c>
      <c r="H1" s="1" t="inlineStr">
        <is>
          <t>Fator calibração</t>
        </is>
      </c>
      <c r="I1" s="1" t="inlineStr">
        <is>
          <t>Total (R$)</t>
        </is>
      </c>
      <c r="J1" s="1" t="inlineStr">
        <is>
          <t>Fonte</t>
        </is>
      </c>
      <c r="K1" s="1" t="inlineStr">
        <is>
          <t>Atividade</t>
        </is>
      </c>
      <c r="L1" s="1" t="inlineStr">
        <is>
          <t>Mês pedido</t>
        </is>
      </c>
      <c r="M1" s="1" t="inlineStr">
        <is>
          <t>Mês entrega</t>
        </is>
      </c>
    </row>
    <row r="2">
      <c r="B2" s="9" t="inlineStr">
        <is>
          <t>TOTAL</t>
        </is>
      </c>
      <c r="I2" s="10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Origem</t>
        </is>
      </c>
      <c r="C1" s="1" t="inlineStr">
        <is>
          <t>Perfil</t>
        </is>
      </c>
      <c r="D1" s="1" t="inlineStr">
        <is>
          <t>Categoria</t>
        </is>
      </c>
      <c r="E1" s="1" t="inlineStr">
        <is>
          <t>Horas (calibradas)</t>
        </is>
      </c>
      <c r="F1" s="1" t="inlineStr">
        <is>
          <t>Custo/hora (R$)</t>
        </is>
      </c>
      <c r="G1" s="1" t="inlineStr">
        <is>
          <t>Total (R$)</t>
        </is>
      </c>
      <c r="H1" s="1" t="inlineStr">
        <is>
          <t>Atividade</t>
        </is>
      </c>
    </row>
    <row r="2">
      <c r="C2" s="9" t="inlineStr">
        <is>
          <t>TOTAL</t>
        </is>
      </c>
      <c r="E2" s="11">
        <f>SUM(E2:E2)</f>
        <v/>
      </c>
      <c r="G2" s="10">
        <f>SUM(G2:G2)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 (R$)</t>
        </is>
      </c>
      <c r="E1" s="1" t="inlineStr">
        <is>
          <t>Fonte</t>
        </is>
      </c>
    </row>
    <row r="2">
      <c r="B2" s="9" t="inlineStr">
        <is>
          <t>Total indiretos</t>
        </is>
      </c>
      <c r="D2" s="10">
        <f>SUM(D2:D2)</f>
        <v/>
      </c>
    </row>
    <row r="4">
      <c r="B4" s="2" t="inlineStr">
        <is>
          <t>Equipamentos (BOM)</t>
        </is>
      </c>
      <c r="D4" s="3">
        <f>BOM!I2</f>
        <v/>
      </c>
    </row>
    <row r="5">
      <c r="B5" s="2" t="inlineStr">
        <is>
          <t>Mão de obra</t>
        </is>
      </c>
      <c r="D5" s="3">
        <f>Mao_de_obra!G2</f>
        <v/>
      </c>
    </row>
    <row r="6">
      <c r="B6" s="2" t="inlineStr">
        <is>
          <t>Indiretos</t>
        </is>
      </c>
      <c r="D6" s="4">
        <f>D2</f>
        <v/>
      </c>
    </row>
    <row r="7">
      <c r="B7" s="2" t="inlineStr">
        <is>
          <t>Overhead (% sobre BOM + mão de obra)</t>
        </is>
      </c>
      <c r="C7" s="12" t="n">
        <v>0</v>
      </c>
      <c r="D7" s="4">
        <f>C7*(D4+D5)</f>
        <v/>
      </c>
    </row>
    <row r="8">
      <c r="B8" s="9" t="inlineStr">
        <is>
          <t>Custo base</t>
        </is>
      </c>
      <c r="D8" s="10">
        <f>SUM(D4:D7)</f>
        <v/>
      </c>
    </row>
    <row r="9">
      <c r="B9" s="2" t="inlineStr">
        <is>
          <t>Contingência (Monte Carlo)</t>
        </is>
      </c>
      <c r="D9" s="13" t="n">
        <v>0</v>
      </c>
    </row>
    <row r="10">
      <c r="B10" s="9" t="inlineStr">
        <is>
          <t>Custo com contingência</t>
        </is>
      </c>
      <c r="D10" s="10">
        <f>D8+D9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Atividade</t>
        </is>
      </c>
      <c r="C1" s="1" t="inlineStr">
        <is>
          <t>Início (dia)</t>
        </is>
      </c>
      <c r="D1" s="1" t="inlineStr">
        <is>
          <t>Fim (dia)</t>
        </is>
      </c>
      <c r="E1" s="1" t="inlineStr">
        <is>
          <t>Folga (dias)</t>
        </is>
      </c>
      <c r="F1" s="1" t="inlineStr">
        <is>
          <t>Crítica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Perfil (horas/mês)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Mês</t>
        </is>
      </c>
      <c r="B1" s="1" t="inlineStr">
        <is>
          <t>Competência</t>
        </is>
      </c>
      <c r="C1" s="1" t="inlineStr">
        <is>
          <t>Receita implantacao</t>
        </is>
      </c>
      <c r="D1" s="1" t="inlineStr">
        <is>
          <t>Receita recorrente</t>
        </is>
      </c>
      <c r="E1" s="1" t="inlineStr">
        <is>
          <t>Receita operacao</t>
        </is>
      </c>
      <c r="F1" s="1" t="inlineStr">
        <is>
          <t>Impostos</t>
        </is>
      </c>
      <c r="G1" s="1" t="inlineStr">
        <is>
          <t>Comissao</t>
        </is>
      </c>
      <c r="H1" s="1" t="inlineStr">
        <is>
          <t>Equipamentos</t>
        </is>
      </c>
      <c r="I1" s="1" t="inlineStr">
        <is>
          <t>Mao de obra</t>
        </is>
      </c>
      <c r="J1" s="1" t="inlineStr">
        <is>
          <t>Indiretos</t>
        </is>
      </c>
      <c r="K1" s="1" t="inlineStr">
        <is>
          <t>Overhead</t>
        </is>
      </c>
      <c r="L1" s="1" t="inlineStr">
        <is>
          <t>Contingencia</t>
        </is>
      </c>
      <c r="M1" s="1" t="inlineStr">
        <is>
          <t>Custos recorrentes</t>
        </is>
      </c>
      <c r="N1" s="1" t="inlineStr">
        <is>
          <t>Custo variavel operacao</t>
        </is>
      </c>
      <c r="O1" s="1" t="inlineStr">
        <is>
          <t>Custo financeiro</t>
        </is>
      </c>
      <c r="P1" s="1" t="inlineStr">
        <is>
          <t>Saldo do mês</t>
        </is>
      </c>
      <c r="Q1" s="1" t="inlineStr">
        <is>
          <t>Acumulado</t>
        </is>
      </c>
    </row>
    <row r="2">
      <c r="A2" s="2" t="n">
        <v>0</v>
      </c>
      <c r="B2" s="2" t="inlineStr">
        <is>
          <t>2000-01</t>
        </is>
      </c>
      <c r="C2" s="13" t="n">
        <v>0</v>
      </c>
      <c r="D2" s="13" t="n">
        <v>0</v>
      </c>
      <c r="E2" s="13" t="n">
        <v>0</v>
      </c>
      <c r="F2" s="13" t="n">
        <v>-0</v>
      </c>
      <c r="G2" s="13" t="n">
        <v>-0</v>
      </c>
      <c r="H2" s="13" t="n">
        <v>-0</v>
      </c>
      <c r="I2" s="13" t="n">
        <v>-0</v>
      </c>
      <c r="J2" s="13" t="n">
        <v>-0</v>
      </c>
      <c r="K2" s="13" t="n">
        <v>-0</v>
      </c>
      <c r="L2" s="13" t="n">
        <v>-0</v>
      </c>
      <c r="M2" s="13" t="n">
        <v>-0</v>
      </c>
      <c r="N2" s="13" t="n">
        <v>-0</v>
      </c>
      <c r="O2" s="13" t="n">
        <v>0</v>
      </c>
      <c r="P2" s="4">
        <f>SUM(C2:O2)</f>
        <v/>
      </c>
      <c r="Q2" s="4">
        <f>P2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1" t="inlineStr">
        <is>
          <t>Linha</t>
        </is>
      </c>
      <c r="B1" s="1" t="inlineStr">
        <is>
          <t>Valor (R$)</t>
        </is>
      </c>
      <c r="C1" s="1" t="inlineStr">
        <is>
          <t>% receita bruta</t>
        </is>
      </c>
    </row>
    <row r="2">
      <c r="A2" s="14" t="inlineStr">
        <is>
          <t>Receita bruta</t>
        </is>
      </c>
      <c r="B2" s="15">
        <f>SUM(Fluxo_de_caixa!C2:C2)+SUM(Fluxo_de_caixa!D2:D2)+SUM(Fluxo_de_caixa!E2:E2)</f>
        <v/>
      </c>
      <c r="C2" s="16">
        <f>IF($B$2=0,0,B2/$B$2)</f>
        <v/>
      </c>
    </row>
    <row r="3">
      <c r="A3" s="2" t="inlineStr">
        <is>
          <t>(-) Impostos sobre receita</t>
        </is>
      </c>
      <c r="B3" s="3">
        <f>SUM(Fluxo_de_caixa!F2:F2)</f>
        <v/>
      </c>
      <c r="C3" s="5">
        <f>IF($B$2=0,0,B3/$B$2)</f>
        <v/>
      </c>
    </row>
    <row r="4">
      <c r="A4" s="14" t="inlineStr">
        <is>
          <t>Receita líquida</t>
        </is>
      </c>
      <c r="B4" s="17">
        <f>B2+B3</f>
        <v/>
      </c>
      <c r="C4" s="16">
        <f>IF($B$2=0,0,B4/$B$2)</f>
        <v/>
      </c>
    </row>
    <row r="5">
      <c r="A5" s="2" t="inlineStr">
        <is>
          <t>(-) Equipamentos</t>
        </is>
      </c>
      <c r="B5" s="3">
        <f>SUM(Fluxo_de_caixa!H2:H2)</f>
        <v/>
      </c>
      <c r="C5" s="5">
        <f>IF($B$2=0,0,B5/$B$2)</f>
        <v/>
      </c>
    </row>
    <row r="6">
      <c r="A6" s="2" t="inlineStr">
        <is>
          <t>(-) Mão de obra direta</t>
        </is>
      </c>
      <c r="B6" s="3">
        <f>SUM(Fluxo_de_caixa!I2:I2)</f>
        <v/>
      </c>
      <c r="C6" s="5">
        <f>IF($B$2=0,0,B6/$B$2)</f>
        <v/>
      </c>
    </row>
    <row r="7">
      <c r="A7" s="2" t="inlineStr">
        <is>
          <t>(-) Custos recorrentes (O&amp;M)</t>
        </is>
      </c>
      <c r="B7" s="3">
        <f>SUM(Fluxo_de_caixa!M2:M2)</f>
        <v/>
      </c>
      <c r="C7" s="5">
        <f>IF($B$2=0,0,B7/$B$2)</f>
        <v/>
      </c>
    </row>
    <row r="8">
      <c r="A8" s="2" t="inlineStr">
        <is>
          <t>(-) Custos variáveis da operação comercial</t>
        </is>
      </c>
      <c r="B8" s="3">
        <f>SUM(Fluxo_de_caixa!N2:N2)</f>
        <v/>
      </c>
      <c r="C8" s="5">
        <f>IF($B$2=0,0,B8/$B$2)</f>
        <v/>
      </c>
    </row>
    <row r="9">
      <c r="A9" s="14" t="inlineStr">
        <is>
          <t>Lucro bruto</t>
        </is>
      </c>
      <c r="B9" s="17">
        <f>B4+B5+B6+B7+B8</f>
        <v/>
      </c>
      <c r="C9" s="16">
        <f>IF($B$2=0,0,B9/$B$2)</f>
        <v/>
      </c>
    </row>
    <row r="10">
      <c r="A10" s="2" t="inlineStr">
        <is>
          <t>(-) Comissão</t>
        </is>
      </c>
      <c r="B10" s="3">
        <f>SUM(Fluxo_de_caixa!G2:G2)</f>
        <v/>
      </c>
      <c r="C10" s="5">
        <f>IF($B$2=0,0,B10/$B$2)</f>
        <v/>
      </c>
    </row>
    <row r="11">
      <c r="A11" s="2" t="inlineStr">
        <is>
          <t>(-) Indiretos</t>
        </is>
      </c>
      <c r="B11" s="3">
        <f>SUM(Fluxo_de_caixa!J2:J2)</f>
        <v/>
      </c>
      <c r="C11" s="5">
        <f>IF($B$2=0,0,B11/$B$2)</f>
        <v/>
      </c>
    </row>
    <row r="12">
      <c r="A12" s="2" t="inlineStr">
        <is>
          <t>(-) Overhead</t>
        </is>
      </c>
      <c r="B12" s="3">
        <f>SUM(Fluxo_de_caixa!K2:K2)</f>
        <v/>
      </c>
      <c r="C12" s="5">
        <f>IF($B$2=0,0,B12/$B$2)</f>
        <v/>
      </c>
    </row>
    <row r="13">
      <c r="A13" s="2" t="inlineStr">
        <is>
          <t>(-) Contingência</t>
        </is>
      </c>
      <c r="B13" s="3">
        <f>SUM(Fluxo_de_caixa!L2:L2)</f>
        <v/>
      </c>
      <c r="C13" s="5">
        <f>IF($B$2=0,0,B13/$B$2)</f>
        <v/>
      </c>
    </row>
    <row r="14">
      <c r="A14" s="14" t="inlineStr">
        <is>
          <t>Resultado operacional</t>
        </is>
      </c>
      <c r="B14" s="17">
        <f>B9+B10+B11+B12+B13</f>
        <v/>
      </c>
      <c r="C14" s="16">
        <f>IF($B$2=0,0,B14/$B$2)</f>
        <v/>
      </c>
    </row>
    <row r="15">
      <c r="A15" s="2" t="inlineStr">
        <is>
          <t>(-) Custo financeiro</t>
        </is>
      </c>
      <c r="B15" s="3">
        <f>SUM(Fluxo_de_caixa!O2:O2)</f>
        <v/>
      </c>
      <c r="C15" s="5">
        <f>IF($B$2=0,0,B15/$B$2)</f>
        <v/>
      </c>
    </row>
    <row r="16">
      <c r="A16" s="14" t="inlineStr">
        <is>
          <t>Resultado do projeto</t>
        </is>
      </c>
      <c r="B16" s="17">
        <f>B14+B15</f>
        <v/>
      </c>
      <c r="C16" s="16">
        <f>IF($B$2=0,0,B16/$B$2)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Evento</t>
        </is>
      </c>
      <c r="C1" s="1" t="inlineStr">
        <is>
          <t>%</t>
        </is>
      </c>
      <c r="D1" s="1" t="inlineStr">
        <is>
          <t>Mês (índice)</t>
        </is>
      </c>
      <c r="E1" s="1" t="inlineStr">
        <is>
          <t>Valor (R$)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iteracoes</t>
        </is>
      </c>
      <c r="B2" s="8" t="n">
        <v>10000</v>
      </c>
    </row>
    <row r="3">
      <c r="A3" s="2" t="inlineStr">
        <is>
          <t>custo_p10</t>
        </is>
      </c>
      <c r="B3" s="4" t="n">
        <v>0</v>
      </c>
    </row>
    <row r="4">
      <c r="A4" s="2" t="inlineStr">
        <is>
          <t>custo_p50</t>
        </is>
      </c>
      <c r="B4" s="4" t="n">
        <v>0</v>
      </c>
    </row>
    <row r="5">
      <c r="A5" s="2" t="inlineStr">
        <is>
          <t>custo_p80</t>
        </is>
      </c>
      <c r="B5" s="4" t="n">
        <v>0</v>
      </c>
    </row>
    <row r="6">
      <c r="A6" s="2" t="inlineStr">
        <is>
          <t>custo_p90</t>
        </is>
      </c>
      <c r="B6" s="4" t="n">
        <v>0</v>
      </c>
    </row>
    <row r="7">
      <c r="A7" s="2" t="inlineStr">
        <is>
          <t>prazo_p50_dias</t>
        </is>
      </c>
      <c r="B7" s="8" t="n">
        <v>0</v>
      </c>
    </row>
    <row r="8">
      <c r="A8" s="2" t="inlineStr">
        <is>
          <t>prazo_p80_dias</t>
        </is>
      </c>
      <c r="B8" s="8" t="n">
        <v>0</v>
      </c>
    </row>
    <row r="10">
      <c r="A10" s="9" t="inlineStr">
        <is>
          <t>Maiores contribuidores de incerteza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40" customWidth="1" min="7" max="7"/>
    <col width="16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Probabilidade</t>
        </is>
      </c>
      <c r="E1" s="1" t="inlineStr">
        <is>
          <t>Impacto custo (provável)</t>
        </is>
      </c>
      <c r="F1" s="1" t="inlineStr">
        <is>
          <t>Impacto prazo (dias)</t>
        </is>
      </c>
      <c r="G1" s="1" t="inlineStr">
        <is>
          <t>Mitigação</t>
        </is>
      </c>
      <c r="H1" s="1" t="inlineStr">
        <is>
          <t>Dono</t>
        </is>
      </c>
      <c r="I1" s="1" t="inlineStr">
        <is>
          <t>No Monte Carlo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30" customWidth="1" min="3" max="3"/>
    <col width="16" customWidth="1" min="4" max="4"/>
  </cols>
  <sheetData>
    <row r="1">
      <c r="A1" s="1" t="inlineStr">
        <is>
          <t>ID</t>
        </is>
      </c>
      <c r="B1" s="1" t="inlineStr">
        <is>
          <t>Premissa</t>
        </is>
      </c>
      <c r="C1" s="1" t="inlineStr">
        <is>
          <t>Fonte</t>
        </is>
      </c>
      <c r="D1" s="1" t="inlineStr">
        <is>
          <t>Confiança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2026-10-01T11:50:52Z</dcterms:created>
  <dcterms:modified xmlns:dcterms="http://purl.org/dc/terms/" xmlns:xsi="http://www.w3.org/2001/XMLSchema-instance" xsi:type="dcterms:W3CDTF">2026-10-01T11:50:52Z</dcterms:modified>
</cp:coreProperties>
</file>