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Mao_de_obra" sheetId="3" state="visible" r:id="rId3"/>
    <sheet xmlns:r="http://schemas.openxmlformats.org/officeDocument/2006/relationships" name="Custos" sheetId="4" state="visible" r:id="rId4"/>
    <sheet xmlns:r="http://schemas.openxmlformats.org/officeDocument/2006/relationships" name="Cronograma" sheetId="5" state="visible" r:id="rId5"/>
    <sheet xmlns:r="http://schemas.openxmlformats.org/officeDocument/2006/relationships" name="Histograma" sheetId="6" state="visible" r:id="rId6"/>
    <sheet xmlns:r="http://schemas.openxmlformats.org/officeDocument/2006/relationships" name="Fluxo_de_caixa" sheetId="7" state="visible" r:id="rId7"/>
    <sheet xmlns:r="http://schemas.openxmlformats.org/officeDocument/2006/relationships" name="DRE" sheetId="8" state="visible" r:id="rId8"/>
    <sheet xmlns:r="http://schemas.openxmlformats.org/officeDocument/2006/relationships" name="Marcos" sheetId="9" state="visible" r:id="rId9"/>
    <sheet xmlns:r="http://schemas.openxmlformats.org/officeDocument/2006/relationships" name="Monte_Carlo" sheetId="10" state="visible" r:id="rId10"/>
    <sheet xmlns:r="http://schemas.openxmlformats.org/officeDocument/2006/relationships" name="Riscos" sheetId="11" state="visible" r:id="rId11"/>
    <sheet xmlns:r="http://schemas.openxmlformats.org/officeDocument/2006/relationships" name="Premiss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%;(0.0%);-"/>
    <numFmt numFmtId="166" formatCode="&quot;R$&quot; #,##0.00;(&quot;R$&quot; #,##0.00);-"/>
    <numFmt numFmtId="167" formatCode="#,##0.0"/>
    <numFmt numFmtId="168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11626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pivotButton="0" quotePrefix="0" xfId="0"/>
    <xf numFmtId="166" fontId="5" fillId="0" borderId="0" pivotButton="0" quotePrefix="0" xfId="0"/>
    <xf numFmtId="166" fontId="3" fillId="0" borderId="0" pivotButton="0" quotePrefix="0" xfId="0"/>
    <xf numFmtId="165" fontId="3" fillId="0" borderId="0" pivotButton="0" quotePrefix="0" xfId="0"/>
    <xf numFmtId="165" fontId="5" fillId="0" borderId="0" pivotButton="0" quotePrefix="0" xfId="0"/>
    <xf numFmtId="168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166" fontId="4" fillId="0" borderId="0" pivotButton="0" quotePrefix="0" xfId="0"/>
    <xf numFmtId="167" fontId="2" fillId="0" borderId="0" pivotButton="0" quotePrefix="0" xfId="0"/>
    <xf numFmtId="166" fontId="2" fillId="0" borderId="0" pivotButton="0" quotePrefix="0" xfId="0"/>
    <xf numFmtId="167" fontId="4" fillId="0" borderId="0" pivotButton="0" quotePrefix="0" xfId="0"/>
    <xf numFmtId="167" fontId="3" fillId="0" borderId="0" pivotButton="0" quotePrefix="0" xfId="0"/>
    <xf numFmtId="0" fontId="4" fillId="3" borderId="0" pivotButton="0" quotePrefix="0" xfId="0"/>
    <xf numFmtId="166" fontId="5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Projeto</t>
        </is>
      </c>
      <c r="B2" s="2" t="inlineStr">
        <is>
          <t>[Cliente fictício] – Teste do motor – 3 AMRs</t>
        </is>
      </c>
    </row>
    <row r="3">
      <c r="A3" s="2" t="inlineStr">
        <is>
          <t>Versão / modo</t>
        </is>
      </c>
      <c r="B3" s="2" t="inlineStr">
        <is>
          <t>v1 / completo</t>
        </is>
      </c>
    </row>
    <row r="4">
      <c r="A4" s="2" t="inlineStr">
        <is>
          <t>Classe da estimativa (AACE)</t>
        </is>
      </c>
      <c r="B4" s="2" t="n">
        <v>3</v>
      </c>
    </row>
    <row r="5">
      <c r="A5" s="2" t="inlineStr">
        <is>
          <t>Data-base</t>
        </is>
      </c>
      <c r="B5" s="2" t="inlineStr">
        <is>
          <t>2026-10-01</t>
        </is>
      </c>
    </row>
    <row r="6">
      <c r="A6" s="2" t="inlineStr">
        <is>
          <t>Custo base</t>
        </is>
      </c>
      <c r="B6" s="3">
        <f>Custos!D10</f>
        <v/>
      </c>
    </row>
    <row r="7">
      <c r="A7" s="2" t="inlineStr">
        <is>
          <t>Contingência</t>
        </is>
      </c>
      <c r="B7" s="4" t="n">
        <v>89401.11829310737</v>
      </c>
    </row>
    <row r="8">
      <c r="A8" s="2" t="inlineStr">
        <is>
          <t>Custo P50 (Monte Carlo)</t>
        </is>
      </c>
      <c r="B8" s="4" t="n">
        <v>895569.3786199453</v>
      </c>
    </row>
    <row r="9">
      <c r="A9" s="2" t="inlineStr">
        <is>
          <t>Custo P80 (Monte Carlo)</t>
        </is>
      </c>
      <c r="B9" s="4" t="n">
        <v>961881.1182931074</v>
      </c>
    </row>
    <row r="10">
      <c r="A10" s="2" t="inlineStr">
        <is>
          <t>Preço sugerido</t>
        </is>
      </c>
      <c r="B10" s="4" t="n">
        <v>1699436.60475814</v>
      </c>
    </row>
    <row r="11">
      <c r="A11" s="2" t="inlineStr">
        <is>
          <t>Preço mínimo (walk-away)</t>
        </is>
      </c>
      <c r="B11" s="4" t="n">
        <v>1382013.100995844</v>
      </c>
    </row>
    <row r="12">
      <c r="A12" s="2" t="inlineStr">
        <is>
          <t>Receita de implantação usada</t>
        </is>
      </c>
      <c r="B12" s="4" t="n">
        <v>1699436.60475814</v>
      </c>
    </row>
    <row r="13">
      <c r="A13" s="2" t="inlineStr">
        <is>
          <t>Origem da receita</t>
        </is>
      </c>
      <c r="B13" s="2" t="inlineStr">
        <is>
          <t>preco_sugerido</t>
        </is>
      </c>
    </row>
    <row r="14">
      <c r="A14" s="2" t="inlineStr">
        <is>
          <t>Margem resultante</t>
        </is>
      </c>
      <c r="B14" s="5" t="n">
        <v>0.25</v>
      </c>
    </row>
    <row r="15">
      <c r="A15" s="2" t="inlineStr">
        <is>
          <t>Resultado do projeto (DRE)</t>
        </is>
      </c>
      <c r="B15" s="3">
        <f>DRE!B16</f>
        <v/>
      </c>
    </row>
    <row r="16">
      <c r="A16" s="2" t="inlineStr">
        <is>
          <t>Margem líquida (DRE)</t>
        </is>
      </c>
      <c r="B16" s="6">
        <f>DRE!C16</f>
        <v/>
      </c>
    </row>
    <row r="17">
      <c r="A17" s="2" t="inlineStr">
        <is>
          <t>Exposição máxima de caixa</t>
        </is>
      </c>
      <c r="B17" s="4" t="n">
        <v>-496879.5204975859</v>
      </c>
    </row>
    <row r="18">
      <c r="A18" s="2" t="inlineStr">
        <is>
          <t>Mês do pico de exposição</t>
        </is>
      </c>
      <c r="B18" s="2" t="inlineStr">
        <is>
          <t>2027-03</t>
        </is>
      </c>
    </row>
    <row r="19">
      <c r="A19" s="2" t="inlineStr">
        <is>
          <t>Payback</t>
        </is>
      </c>
      <c r="B19" s="2" t="inlineStr">
        <is>
          <t>2027-04</t>
        </is>
      </c>
    </row>
    <row r="20">
      <c r="A20" s="2" t="inlineStr">
        <is>
          <t>VPL ao custo de capital</t>
        </is>
      </c>
      <c r="B20" s="4" t="n">
        <v>435681.7188330644</v>
      </c>
    </row>
    <row r="21">
      <c r="A21" s="2" t="inlineStr">
        <is>
          <t>TIR anual</t>
        </is>
      </c>
      <c r="B21" s="5" t="n">
        <v>117.0590370454261</v>
      </c>
    </row>
    <row r="22">
      <c r="A22" s="2" t="inlineStr">
        <is>
          <t>Prazo provável (meses)</t>
        </is>
      </c>
      <c r="B22" s="7" t="n">
        <v>3.6</v>
      </c>
    </row>
    <row r="23">
      <c r="A23" s="2" t="inlineStr">
        <is>
          <t>Prazo P80 (dias)</t>
        </is>
      </c>
      <c r="B23" s="8" t="n">
        <v>137.5815236470532</v>
      </c>
    </row>
    <row r="25">
      <c r="A25" s="9" t="inlineStr">
        <is>
          <t>Alertas do motor</t>
        </is>
      </c>
    </row>
    <row r="26">
      <c r="A26" s="2" t="inlineStr">
        <is>
          <t>nenhum</t>
        </is>
      </c>
    </row>
    <row r="28">
      <c r="A28" s="2" t="inlineStr">
        <is>
          <t>Legenda: azul = premissa dos nós; preto = fórmula; verde = vínculo entre abas. Edite os nós, não a planilha.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ID</t>
        </is>
      </c>
      <c r="B1" s="1" t="inlineStr">
        <is>
          <t>Descrição</t>
        </is>
      </c>
      <c r="C1" s="1" t="inlineStr">
        <is>
          <t>Qtd</t>
        </is>
      </c>
      <c r="D1" s="1" t="inlineStr">
        <is>
          <t>Moeda</t>
        </is>
      </c>
      <c r="E1" s="1" t="inlineStr">
        <is>
          <t>Preço unit. (moeda)</t>
        </is>
      </c>
      <c r="F1" s="1" t="inlineStr">
        <is>
          <t>Câmbio</t>
        </is>
      </c>
      <c r="G1" s="1" t="inlineStr">
        <is>
          <t>Alíq. aquisição</t>
        </is>
      </c>
      <c r="H1" s="1" t="inlineStr">
        <is>
          <t>Fator calibração</t>
        </is>
      </c>
      <c r="I1" s="1" t="inlineStr">
        <is>
          <t>Total (R$)</t>
        </is>
      </c>
      <c r="J1" s="1" t="inlineStr">
        <is>
          <t>Fonte</t>
        </is>
      </c>
      <c r="K1" s="1" t="inlineStr">
        <is>
          <t>Atividade</t>
        </is>
      </c>
      <c r="L1" s="1" t="inlineStr">
        <is>
          <t>Mês pedido</t>
        </is>
      </c>
      <c r="M1" s="1" t="inlineStr">
        <is>
          <t>Mês entrega</t>
        </is>
      </c>
    </row>
    <row r="2">
      <c r="A2" s="10" t="inlineStr">
        <is>
          <t>B01</t>
        </is>
      </c>
      <c r="B2" s="10" t="inlineStr">
        <is>
          <t>AMR 100 kg</t>
        </is>
      </c>
      <c r="C2" s="10" t="n">
        <v>3</v>
      </c>
      <c r="D2" s="10" t="inlineStr">
        <is>
          <t>USD</t>
        </is>
      </c>
      <c r="E2" s="11" t="n">
        <v>25000</v>
      </c>
      <c r="F2" s="12" t="n">
        <v>5</v>
      </c>
      <c r="G2" s="13" t="n">
        <v>0.8</v>
      </c>
      <c r="H2" s="14" t="n">
        <v>1</v>
      </c>
      <c r="I2" s="4">
        <f>C2*E2*F2*(1+G2)*H2</f>
        <v/>
      </c>
      <c r="J2" s="10" t="inlineStr">
        <is>
          <t>cotacao</t>
        </is>
      </c>
      <c r="K2" s="10" t="inlineStr">
        <is>
          <t>A02</t>
        </is>
      </c>
      <c r="L2" s="10" t="n">
        <v>0</v>
      </c>
      <c r="M2" s="10" t="n">
        <v>2</v>
      </c>
    </row>
    <row r="3">
      <c r="A3" s="10" t="inlineStr">
        <is>
          <t>B02</t>
        </is>
      </c>
      <c r="B3" s="10" t="inlineStr">
        <is>
          <t>Estação de recarga</t>
        </is>
      </c>
      <c r="C3" s="10" t="n">
        <v>3</v>
      </c>
      <c r="D3" s="10" t="inlineStr">
        <is>
          <t>USD</t>
        </is>
      </c>
      <c r="E3" s="11" t="n">
        <v>2000</v>
      </c>
      <c r="F3" s="12" t="n">
        <v>5</v>
      </c>
      <c r="G3" s="13" t="n">
        <v>0.8</v>
      </c>
      <c r="H3" s="14" t="n">
        <v>1</v>
      </c>
      <c r="I3" s="4">
        <f>C3*E3*F3*(1+G3)*H3</f>
        <v/>
      </c>
      <c r="J3" s="10" t="inlineStr">
        <is>
          <t>benchmark</t>
        </is>
      </c>
      <c r="K3" s="10" t="inlineStr">
        <is>
          <t>A02</t>
        </is>
      </c>
      <c r="L3" s="10" t="n">
        <v>0</v>
      </c>
      <c r="M3" s="10" t="n">
        <v>2</v>
      </c>
    </row>
    <row r="4">
      <c r="A4" s="10" t="inlineStr">
        <is>
          <t>B03</t>
        </is>
      </c>
      <c r="B4" s="10" t="inlineStr">
        <is>
          <t>Licença de software</t>
        </is>
      </c>
      <c r="C4" s="10" t="n">
        <v>1</v>
      </c>
      <c r="D4" s="10" t="inlineStr">
        <is>
          <t>BRL</t>
        </is>
      </c>
      <c r="E4" s="11" t="n">
        <v>6000</v>
      </c>
      <c r="F4" s="12" t="n">
        <v>1</v>
      </c>
      <c r="G4" s="13" t="n">
        <v>0</v>
      </c>
      <c r="H4" s="14" t="n">
        <v>1</v>
      </c>
      <c r="I4" s="4">
        <f>C4*E4*F4*(1+G4)*H4</f>
        <v/>
      </c>
      <c r="J4" s="10" t="inlineStr">
        <is>
          <t>premissa</t>
        </is>
      </c>
      <c r="K4" s="10" t="inlineStr">
        <is>
          <t>A02</t>
        </is>
      </c>
      <c r="L4" s="10" t="n">
        <v>0</v>
      </c>
      <c r="M4" s="10" t="n">
        <v>1</v>
      </c>
    </row>
    <row r="5">
      <c r="B5" s="9" t="inlineStr">
        <is>
          <t>TOTAL</t>
        </is>
      </c>
      <c r="I5" s="15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Origem</t>
        </is>
      </c>
      <c r="C1" s="1" t="inlineStr">
        <is>
          <t>Perfil</t>
        </is>
      </c>
      <c r="D1" s="1" t="inlineStr">
        <is>
          <t>Categoria</t>
        </is>
      </c>
      <c r="E1" s="1" t="inlineStr">
        <is>
          <t>Horas (calibradas)</t>
        </is>
      </c>
      <c r="F1" s="1" t="inlineStr">
        <is>
          <t>Custo/hora (R$)</t>
        </is>
      </c>
      <c r="G1" s="1" t="inlineStr">
        <is>
          <t>Total (R$)</t>
        </is>
      </c>
      <c r="H1" s="1" t="inlineStr">
        <is>
          <t>Atividade</t>
        </is>
      </c>
    </row>
    <row r="2">
      <c r="A2" s="10" t="inlineStr">
        <is>
          <t>E01</t>
        </is>
      </c>
      <c r="B2" s="10" t="inlineStr">
        <is>
          <t>solucao</t>
        </is>
      </c>
      <c r="C2" s="10" t="inlineStr">
        <is>
          <t>Engenheiro de software sênior</t>
        </is>
      </c>
      <c r="D2" s="10" t="inlineStr">
        <is>
          <t>software</t>
        </is>
      </c>
      <c r="E2" s="16" t="n">
        <v>160</v>
      </c>
      <c r="F2" s="17" t="n">
        <v>100</v>
      </c>
      <c r="G2" s="4">
        <f>E2*F2</f>
        <v/>
      </c>
      <c r="H2" s="10" t="inlineStr">
        <is>
          <t>A01</t>
        </is>
      </c>
    </row>
    <row r="3">
      <c r="A3" s="10" t="inlineStr">
        <is>
          <t>E02</t>
        </is>
      </c>
      <c r="B3" s="10" t="inlineStr">
        <is>
          <t>solucao</t>
        </is>
      </c>
      <c r="C3" s="10" t="inlineStr">
        <is>
          <t>Engenheiro eletrônico pleno</t>
        </is>
      </c>
      <c r="D3" s="10" t="inlineStr">
        <is>
          <t>eletronica</t>
        </is>
      </c>
      <c r="E3" s="16" t="n">
        <v>60</v>
      </c>
      <c r="F3" s="17" t="n">
        <v>80</v>
      </c>
      <c r="G3" s="4">
        <f>E3*F3</f>
        <v/>
      </c>
      <c r="H3" s="10" t="inlineStr">
        <is>
          <t>A01</t>
        </is>
      </c>
    </row>
    <row r="4">
      <c r="A4" s="10" t="inlineStr">
        <is>
          <t>O01</t>
        </is>
      </c>
      <c r="B4" s="10" t="inlineStr">
        <is>
          <t>operacoes</t>
        </is>
      </c>
      <c r="C4" s="10" t="inlineStr">
        <is>
          <t>Engenheiro de software sênior</t>
        </is>
      </c>
      <c r="D4" s="10" t="inlineStr">
        <is>
          <t>implantacao</t>
        </is>
      </c>
      <c r="E4" s="16" t="n">
        <v>120</v>
      </c>
      <c r="F4" s="17" t="n">
        <v>100</v>
      </c>
      <c r="G4" s="4">
        <f>E4*F4</f>
        <v/>
      </c>
      <c r="H4" s="10" t="inlineStr">
        <is>
          <t>A03</t>
        </is>
      </c>
    </row>
    <row r="5">
      <c r="A5" s="10" t="inlineStr">
        <is>
          <t>G01</t>
        </is>
      </c>
      <c r="B5" s="10" t="inlineStr">
        <is>
          <t>cronograma</t>
        </is>
      </c>
      <c r="C5" s="10" t="inlineStr">
        <is>
          <t>Diretor técnico (CTO)</t>
        </is>
      </c>
      <c r="D5" s="10" t="inlineStr">
        <is>
          <t>gestao</t>
        </is>
      </c>
      <c r="E5" s="16" t="n">
        <v>60</v>
      </c>
      <c r="F5" s="17" t="n">
        <v>150</v>
      </c>
      <c r="G5" s="4">
        <f>E5*F5</f>
        <v/>
      </c>
      <c r="H5" s="10" t="inlineStr">
        <is>
          <t>A02</t>
        </is>
      </c>
    </row>
    <row r="6">
      <c r="C6" s="9" t="inlineStr">
        <is>
          <t>TOTAL</t>
        </is>
      </c>
      <c r="E6" s="18">
        <f>SUM(E2:E5)</f>
        <v/>
      </c>
      <c r="G6" s="15">
        <f>SUM(G2:G5)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 (R$)</t>
        </is>
      </c>
      <c r="E1" s="1" t="inlineStr">
        <is>
          <t>Fonte</t>
        </is>
      </c>
    </row>
    <row r="2">
      <c r="A2" s="10" t="inlineStr">
        <is>
          <t>I01</t>
        </is>
      </c>
      <c r="B2" s="10" t="inlineStr">
        <is>
          <t>Frete e desembaraço</t>
        </is>
      </c>
      <c r="C2" s="10" t="inlineStr">
        <is>
          <t>logistica</t>
        </is>
      </c>
      <c r="D2" s="17" t="n">
        <v>10000</v>
      </c>
      <c r="E2" s="10" t="inlineStr">
        <is>
          <t>FICTÍCIO – teste do motor</t>
        </is>
      </c>
    </row>
    <row r="3">
      <c r="A3" s="10" t="inlineStr">
        <is>
          <t>I02</t>
        </is>
      </c>
      <c r="B3" s="10" t="inlineStr">
        <is>
          <t>Viagens</t>
        </is>
      </c>
      <c r="C3" s="10" t="inlineStr">
        <is>
          <t>viagens</t>
        </is>
      </c>
      <c r="D3" s="17" t="n">
        <v>8000</v>
      </c>
      <c r="E3" s="10" t="inlineStr">
        <is>
          <t>FICTÍCIO – teste do motor</t>
        </is>
      </c>
    </row>
    <row r="4">
      <c r="B4" s="9" t="inlineStr">
        <is>
          <t>Total indiretos</t>
        </is>
      </c>
      <c r="D4" s="15">
        <f>SUM(D2:D3)</f>
        <v/>
      </c>
    </row>
    <row r="6">
      <c r="B6" s="2" t="inlineStr">
        <is>
          <t>Equipamentos (BOM)</t>
        </is>
      </c>
      <c r="D6" s="3">
        <f>BOM!I5</f>
        <v/>
      </c>
    </row>
    <row r="7">
      <c r="B7" s="2" t="inlineStr">
        <is>
          <t>Mão de obra</t>
        </is>
      </c>
      <c r="D7" s="3">
        <f>Mao_de_obra!G6</f>
        <v/>
      </c>
    </row>
    <row r="8">
      <c r="B8" s="2" t="inlineStr">
        <is>
          <t>Indiretos</t>
        </is>
      </c>
      <c r="D8" s="4">
        <f>D4</f>
        <v/>
      </c>
    </row>
    <row r="9">
      <c r="B9" s="2" t="inlineStr">
        <is>
          <t>Overhead (% sobre BOM + mão de obra)</t>
        </is>
      </c>
      <c r="C9" s="13" t="n">
        <v>0.1</v>
      </c>
      <c r="D9" s="4">
        <f>C9*(D6+D7)</f>
        <v/>
      </c>
    </row>
    <row r="10">
      <c r="B10" s="9" t="inlineStr">
        <is>
          <t>Custo base</t>
        </is>
      </c>
      <c r="D10" s="15">
        <f>SUM(D6:D9)</f>
        <v/>
      </c>
    </row>
    <row r="11">
      <c r="B11" s="2" t="inlineStr">
        <is>
          <t>Contingência (Monte Carlo)</t>
        </is>
      </c>
      <c r="D11" s="17" t="n">
        <v>89401.11829310737</v>
      </c>
    </row>
    <row r="12">
      <c r="B12" s="9" t="inlineStr">
        <is>
          <t>Custo com contingência</t>
        </is>
      </c>
      <c r="D12" s="15">
        <f>D10+D11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Atividade</t>
        </is>
      </c>
      <c r="C1" s="1" t="inlineStr">
        <is>
          <t>Início (dia)</t>
        </is>
      </c>
      <c r="D1" s="1" t="inlineStr">
        <is>
          <t>Fim (dia)</t>
        </is>
      </c>
      <c r="E1" s="1" t="inlineStr">
        <is>
          <t>Folga (dias)</t>
        </is>
      </c>
      <c r="F1" s="1" t="inlineStr">
        <is>
          <t>Crítica</t>
        </is>
      </c>
    </row>
    <row r="2">
      <c r="A2" s="2" t="inlineStr">
        <is>
          <t>A01</t>
        </is>
      </c>
      <c r="B2" s="2" t="inlineStr">
        <is>
          <t>Engenharia</t>
        </is>
      </c>
      <c r="C2" s="19" t="n">
        <v>0</v>
      </c>
      <c r="D2" s="19" t="n">
        <v>30</v>
      </c>
      <c r="E2" s="19" t="n">
        <v>0</v>
      </c>
      <c r="F2" s="2" t="b">
        <v>1</v>
      </c>
    </row>
    <row r="3">
      <c r="A3" s="2" t="inlineStr">
        <is>
          <t>A02</t>
        </is>
      </c>
      <c r="B3" s="2" t="inlineStr">
        <is>
          <t>Compras e importação</t>
        </is>
      </c>
      <c r="C3" s="19" t="n">
        <v>30</v>
      </c>
      <c r="D3" s="19" t="n">
        <v>90</v>
      </c>
      <c r="E3" s="19" t="n">
        <v>0</v>
      </c>
      <c r="F3" s="2" t="b">
        <v>1</v>
      </c>
    </row>
    <row r="4">
      <c r="A4" s="2" t="inlineStr">
        <is>
          <t>A03</t>
        </is>
      </c>
      <c r="B4" s="2" t="inlineStr">
        <is>
          <t>Implantação</t>
        </is>
      </c>
      <c r="C4" s="19" t="n">
        <v>90</v>
      </c>
      <c r="D4" s="19" t="n">
        <v>110</v>
      </c>
      <c r="E4" s="19" t="n">
        <v>0</v>
      </c>
      <c r="F4" s="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Perfil (horas/mês)</t>
        </is>
      </c>
      <c r="B1" s="1" t="inlineStr">
        <is>
          <t>2027-01</t>
        </is>
      </c>
      <c r="C1" s="1" t="inlineStr">
        <is>
          <t>2027-02</t>
        </is>
      </c>
      <c r="D1" s="1" t="inlineStr">
        <is>
          <t>2027-03</t>
        </is>
      </c>
      <c r="E1" s="1" t="inlineStr">
        <is>
          <t>2027-04</t>
        </is>
      </c>
    </row>
    <row r="2">
      <c r="A2" s="2" t="inlineStr">
        <is>
          <t>Engenheiro de software sênior</t>
        </is>
      </c>
      <c r="B2" s="19" t="n">
        <v>160</v>
      </c>
      <c r="C2" s="19" t="n">
        <v>0</v>
      </c>
      <c r="D2" s="19" t="n">
        <v>60</v>
      </c>
      <c r="E2" s="19" t="n">
        <v>60</v>
      </c>
    </row>
    <row r="3">
      <c r="A3" s="2" t="inlineStr">
        <is>
          <t>Engenheiro eletrônico pleno</t>
        </is>
      </c>
      <c r="B3" s="19" t="n">
        <v>60</v>
      </c>
      <c r="C3" s="19" t="n">
        <v>0</v>
      </c>
      <c r="D3" s="19" t="n">
        <v>0</v>
      </c>
      <c r="E3" s="19" t="n">
        <v>0</v>
      </c>
    </row>
    <row r="4">
      <c r="A4" s="2" t="inlineStr">
        <is>
          <t>Diretor técnico (CTO)</t>
        </is>
      </c>
      <c r="B4" s="19" t="n">
        <v>20</v>
      </c>
      <c r="C4" s="19" t="n">
        <v>20</v>
      </c>
      <c r="D4" s="19" t="n">
        <v>20</v>
      </c>
      <c r="E4" s="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Mês</t>
        </is>
      </c>
      <c r="B1" s="1" t="inlineStr">
        <is>
          <t>Competência</t>
        </is>
      </c>
      <c r="C1" s="1" t="inlineStr">
        <is>
          <t>Receita implantacao</t>
        </is>
      </c>
      <c r="D1" s="1" t="inlineStr">
        <is>
          <t>Receita recorrente</t>
        </is>
      </c>
      <c r="E1" s="1" t="inlineStr">
        <is>
          <t>Receita operacao</t>
        </is>
      </c>
      <c r="F1" s="1" t="inlineStr">
        <is>
          <t>Impostos</t>
        </is>
      </c>
      <c r="G1" s="1" t="inlineStr">
        <is>
          <t>Comissao</t>
        </is>
      </c>
      <c r="H1" s="1" t="inlineStr">
        <is>
          <t>Equipamentos</t>
        </is>
      </c>
      <c r="I1" s="1" t="inlineStr">
        <is>
          <t>Mao de obra</t>
        </is>
      </c>
      <c r="J1" s="1" t="inlineStr">
        <is>
          <t>Indiretos</t>
        </is>
      </c>
      <c r="K1" s="1" t="inlineStr">
        <is>
          <t>Overhead</t>
        </is>
      </c>
      <c r="L1" s="1" t="inlineStr">
        <is>
          <t>Contingencia</t>
        </is>
      </c>
      <c r="M1" s="1" t="inlineStr">
        <is>
          <t>Custos recorrentes</t>
        </is>
      </c>
      <c r="N1" s="1" t="inlineStr">
        <is>
          <t>Custo variavel operacao</t>
        </is>
      </c>
      <c r="O1" s="1" t="inlineStr">
        <is>
          <t>Custo financeiro</t>
        </is>
      </c>
      <c r="P1" s="1" t="inlineStr">
        <is>
          <t>Saldo do mês</t>
        </is>
      </c>
      <c r="Q1" s="1" t="inlineStr">
        <is>
          <t>Acumulado</t>
        </is>
      </c>
    </row>
    <row r="2">
      <c r="A2" s="2" t="n">
        <v>0</v>
      </c>
      <c r="B2" s="2" t="inlineStr">
        <is>
          <t>2027-01</t>
        </is>
      </c>
      <c r="C2" s="17" t="n">
        <v>509830.9814274421</v>
      </c>
      <c r="D2" s="17" t="n">
        <v>0</v>
      </c>
      <c r="E2" s="17" t="n">
        <v>0</v>
      </c>
      <c r="F2" s="17" t="n">
        <v>-78513.97113982608</v>
      </c>
      <c r="G2" s="17" t="n">
        <v>-15294.92944282326</v>
      </c>
      <c r="H2" s="17" t="n">
        <v>-343500</v>
      </c>
      <c r="I2" s="17" t="n">
        <v>-23800</v>
      </c>
      <c r="J2" s="17" t="n">
        <v>-12000</v>
      </c>
      <c r="K2" s="17" t="n">
        <v>-19420</v>
      </c>
      <c r="L2" s="17" t="n">
        <v>-22350.27957327684</v>
      </c>
      <c r="M2" s="17" t="n">
        <v>-0</v>
      </c>
      <c r="N2" s="17" t="n">
        <v>-0</v>
      </c>
      <c r="O2" s="17" t="n">
        <v>0</v>
      </c>
      <c r="P2" s="4">
        <f>SUM(C2:O2)</f>
        <v/>
      </c>
      <c r="Q2" s="4">
        <f>P2</f>
        <v/>
      </c>
    </row>
    <row r="3">
      <c r="A3" s="2" t="n">
        <v>1</v>
      </c>
      <c r="B3" s="2" t="inlineStr">
        <is>
          <t>2027-02</t>
        </is>
      </c>
      <c r="C3" s="17" t="n">
        <v>0</v>
      </c>
      <c r="D3" s="17" t="n">
        <v>0</v>
      </c>
      <c r="E3" s="17" t="n">
        <v>0</v>
      </c>
      <c r="F3" s="17" t="n">
        <v>-0</v>
      </c>
      <c r="G3" s="17" t="n">
        <v>-0</v>
      </c>
      <c r="H3" s="17" t="n">
        <v>-0</v>
      </c>
      <c r="I3" s="17" t="n">
        <v>-3000</v>
      </c>
      <c r="J3" s="17" t="n">
        <v>-2000</v>
      </c>
      <c r="K3" s="17" t="n">
        <v>-19420</v>
      </c>
      <c r="L3" s="17" t="n">
        <v>-22350.27957327684</v>
      </c>
      <c r="M3" s="17" t="n">
        <v>-0</v>
      </c>
      <c r="N3" s="17" t="n">
        <v>-0</v>
      </c>
      <c r="O3" s="17" t="n">
        <v>-70.11155642548269</v>
      </c>
      <c r="P3" s="4">
        <f>SUM(C3:O3)</f>
        <v/>
      </c>
      <c r="Q3" s="4">
        <f>Q2+P3</f>
        <v/>
      </c>
    </row>
    <row r="4">
      <c r="A4" s="2" t="n">
        <v>2</v>
      </c>
      <c r="B4" s="2" t="inlineStr">
        <is>
          <t>2027-03</t>
        </is>
      </c>
      <c r="C4" s="17" t="n">
        <v>0</v>
      </c>
      <c r="D4" s="17" t="n">
        <v>0</v>
      </c>
      <c r="E4" s="17" t="n">
        <v>0</v>
      </c>
      <c r="F4" s="17" t="n">
        <v>-0</v>
      </c>
      <c r="G4" s="17" t="n">
        <v>-0</v>
      </c>
      <c r="H4" s="17" t="n">
        <v>-391500</v>
      </c>
      <c r="I4" s="17" t="n">
        <v>-9000</v>
      </c>
      <c r="J4" s="17" t="n">
        <v>-2000</v>
      </c>
      <c r="K4" s="17" t="n">
        <v>-19420</v>
      </c>
      <c r="L4" s="17" t="n">
        <v>-22350.27957327684</v>
      </c>
      <c r="M4" s="17" t="n">
        <v>-0</v>
      </c>
      <c r="N4" s="17" t="n">
        <v>-0</v>
      </c>
      <c r="O4" s="17" t="n">
        <v>-720.6510661226312</v>
      </c>
      <c r="P4" s="4">
        <f>SUM(C4:O4)</f>
        <v/>
      </c>
      <c r="Q4" s="4">
        <f>Q3+P4</f>
        <v/>
      </c>
    </row>
    <row r="5">
      <c r="A5" s="2" t="n">
        <v>3</v>
      </c>
      <c r="B5" s="2" t="inlineStr">
        <is>
          <t>2027-04</t>
        </is>
      </c>
      <c r="C5" s="17" t="n">
        <v>679774.6419032562</v>
      </c>
      <c r="D5" s="17" t="n">
        <v>0</v>
      </c>
      <c r="E5" s="17" t="n">
        <v>0</v>
      </c>
      <c r="F5" s="17" t="n">
        <v>-104685.2948531015</v>
      </c>
      <c r="G5" s="17" t="n">
        <v>-20393.23925709768</v>
      </c>
      <c r="H5" s="17" t="n">
        <v>-0</v>
      </c>
      <c r="I5" s="17" t="n">
        <v>-6000</v>
      </c>
      <c r="J5" s="17" t="n">
        <v>-2000</v>
      </c>
      <c r="K5" s="17" t="n">
        <v>-19420</v>
      </c>
      <c r="L5" s="17" t="n">
        <v>-22350.27957327684</v>
      </c>
      <c r="M5" s="17" t="n">
        <v>-0</v>
      </c>
      <c r="N5" s="17" t="n">
        <v>-0</v>
      </c>
      <c r="O5" s="17" t="n">
        <v>-6900.87661198204</v>
      </c>
      <c r="P5" s="4">
        <f>SUM(C5:O5)</f>
        <v/>
      </c>
      <c r="Q5" s="4">
        <f>Q4+P5</f>
        <v/>
      </c>
    </row>
    <row r="6">
      <c r="A6" s="2" t="n">
        <v>4</v>
      </c>
      <c r="B6" s="2" t="inlineStr">
        <is>
          <t>2027-05</t>
        </is>
      </c>
      <c r="C6" s="17" t="n">
        <v>509830.9814274421</v>
      </c>
      <c r="D6" s="17" t="n">
        <v>6000</v>
      </c>
      <c r="E6" s="17" t="n">
        <v>0</v>
      </c>
      <c r="F6" s="17" t="n">
        <v>-79533.97113982608</v>
      </c>
      <c r="G6" s="17" t="n">
        <v>-15294.92944282326</v>
      </c>
      <c r="H6" s="17" t="n">
        <v>-0</v>
      </c>
      <c r="I6" s="17" t="n">
        <v>-0</v>
      </c>
      <c r="J6" s="17" t="n">
        <v>-0</v>
      </c>
      <c r="K6" s="17" t="n">
        <v>-0</v>
      </c>
      <c r="L6" s="17" t="n">
        <v>-0</v>
      </c>
      <c r="M6" s="17" t="n">
        <v>-2500</v>
      </c>
      <c r="N6" s="17" t="n">
        <v>-0</v>
      </c>
      <c r="O6" s="17" t="n">
        <v>0</v>
      </c>
      <c r="P6" s="4">
        <f>SUM(C6:O6)</f>
        <v/>
      </c>
      <c r="Q6" s="4">
        <f>Q5+P6</f>
        <v/>
      </c>
    </row>
    <row r="7">
      <c r="A7" s="2" t="n">
        <v>5</v>
      </c>
      <c r="B7" s="2" t="inlineStr">
        <is>
          <t>2027-06</t>
        </is>
      </c>
      <c r="C7" s="17" t="n">
        <v>0</v>
      </c>
      <c r="D7" s="17" t="n">
        <v>6000</v>
      </c>
      <c r="E7" s="17" t="n">
        <v>0</v>
      </c>
      <c r="F7" s="17" t="n">
        <v>-1020</v>
      </c>
      <c r="G7" s="17" t="n">
        <v>-0</v>
      </c>
      <c r="H7" s="17" t="n">
        <v>-0</v>
      </c>
      <c r="I7" s="17" t="n">
        <v>-0</v>
      </c>
      <c r="J7" s="17" t="n">
        <v>-0</v>
      </c>
      <c r="K7" s="17" t="n">
        <v>-0</v>
      </c>
      <c r="L7" s="17" t="n">
        <v>-0</v>
      </c>
      <c r="M7" s="17" t="n">
        <v>-2500</v>
      </c>
      <c r="N7" s="17" t="n">
        <v>-0</v>
      </c>
      <c r="O7" s="17" t="n">
        <v>0</v>
      </c>
      <c r="P7" s="4">
        <f>SUM(C7:O7)</f>
        <v/>
      </c>
      <c r="Q7" s="4">
        <f>Q6+P7</f>
        <v/>
      </c>
    </row>
    <row r="8">
      <c r="A8" s="2" t="n">
        <v>6</v>
      </c>
      <c r="B8" s="2" t="inlineStr">
        <is>
          <t>2027-07</t>
        </is>
      </c>
      <c r="C8" s="17" t="n">
        <v>0</v>
      </c>
      <c r="D8" s="17" t="n">
        <v>6000</v>
      </c>
      <c r="E8" s="17" t="n">
        <v>0</v>
      </c>
      <c r="F8" s="17" t="n">
        <v>-1020</v>
      </c>
      <c r="G8" s="17" t="n">
        <v>-0</v>
      </c>
      <c r="H8" s="17" t="n">
        <v>-0</v>
      </c>
      <c r="I8" s="17" t="n">
        <v>-0</v>
      </c>
      <c r="J8" s="17" t="n">
        <v>-0</v>
      </c>
      <c r="K8" s="17" t="n">
        <v>-0</v>
      </c>
      <c r="L8" s="17" t="n">
        <v>-0</v>
      </c>
      <c r="M8" s="17" t="n">
        <v>-2500</v>
      </c>
      <c r="N8" s="17" t="n">
        <v>-0</v>
      </c>
      <c r="O8" s="17" t="n">
        <v>0</v>
      </c>
      <c r="P8" s="4">
        <f>SUM(C8:O8)</f>
        <v/>
      </c>
      <c r="Q8" s="4">
        <f>Q7+P8</f>
        <v/>
      </c>
    </row>
    <row r="9">
      <c r="A9" s="2" t="n">
        <v>7</v>
      </c>
      <c r="B9" s="2" t="inlineStr">
        <is>
          <t>2027-08</t>
        </is>
      </c>
      <c r="C9" s="17" t="n">
        <v>0</v>
      </c>
      <c r="D9" s="17" t="n">
        <v>6000</v>
      </c>
      <c r="E9" s="17" t="n">
        <v>0</v>
      </c>
      <c r="F9" s="17" t="n">
        <v>-1020</v>
      </c>
      <c r="G9" s="17" t="n">
        <v>-0</v>
      </c>
      <c r="H9" s="17" t="n">
        <v>-0</v>
      </c>
      <c r="I9" s="17" t="n">
        <v>-0</v>
      </c>
      <c r="J9" s="17" t="n">
        <v>-0</v>
      </c>
      <c r="K9" s="17" t="n">
        <v>-0</v>
      </c>
      <c r="L9" s="17" t="n">
        <v>-0</v>
      </c>
      <c r="M9" s="17" t="n">
        <v>-2500</v>
      </c>
      <c r="N9" s="17" t="n">
        <v>-0</v>
      </c>
      <c r="O9" s="17" t="n">
        <v>0</v>
      </c>
      <c r="P9" s="4">
        <f>SUM(C9:O9)</f>
        <v/>
      </c>
      <c r="Q9" s="4">
        <f>Q8+P9</f>
        <v/>
      </c>
    </row>
    <row r="10">
      <c r="A10" s="2" t="n">
        <v>8</v>
      </c>
      <c r="B10" s="2" t="inlineStr">
        <is>
          <t>2027-09</t>
        </is>
      </c>
      <c r="C10" s="17" t="n">
        <v>0</v>
      </c>
      <c r="D10" s="17" t="n">
        <v>6000</v>
      </c>
      <c r="E10" s="17" t="n">
        <v>0</v>
      </c>
      <c r="F10" s="17" t="n">
        <v>-1020</v>
      </c>
      <c r="G10" s="17" t="n">
        <v>-0</v>
      </c>
      <c r="H10" s="17" t="n">
        <v>-0</v>
      </c>
      <c r="I10" s="17" t="n">
        <v>-0</v>
      </c>
      <c r="J10" s="17" t="n">
        <v>-0</v>
      </c>
      <c r="K10" s="17" t="n">
        <v>-0</v>
      </c>
      <c r="L10" s="17" t="n">
        <v>-0</v>
      </c>
      <c r="M10" s="17" t="n">
        <v>-2500</v>
      </c>
      <c r="N10" s="17" t="n">
        <v>-0</v>
      </c>
      <c r="O10" s="17" t="n">
        <v>0</v>
      </c>
      <c r="P10" s="4">
        <f>SUM(C10:O10)</f>
        <v/>
      </c>
      <c r="Q10" s="4">
        <f>Q9+P10</f>
        <v/>
      </c>
    </row>
    <row r="11">
      <c r="A11" s="2" t="n">
        <v>9</v>
      </c>
      <c r="B11" s="2" t="inlineStr">
        <is>
          <t>2027-10</t>
        </is>
      </c>
      <c r="C11" s="17" t="n">
        <v>0</v>
      </c>
      <c r="D11" s="17" t="n">
        <v>6000</v>
      </c>
      <c r="E11" s="17" t="n">
        <v>0</v>
      </c>
      <c r="F11" s="17" t="n">
        <v>-1020</v>
      </c>
      <c r="G11" s="17" t="n">
        <v>-0</v>
      </c>
      <c r="H11" s="17" t="n">
        <v>-0</v>
      </c>
      <c r="I11" s="17" t="n">
        <v>-0</v>
      </c>
      <c r="J11" s="17" t="n">
        <v>-0</v>
      </c>
      <c r="K11" s="17" t="n">
        <v>-0</v>
      </c>
      <c r="L11" s="17" t="n">
        <v>-0</v>
      </c>
      <c r="M11" s="17" t="n">
        <v>-2500</v>
      </c>
      <c r="N11" s="17" t="n">
        <v>-0</v>
      </c>
      <c r="O11" s="17" t="n">
        <v>0</v>
      </c>
      <c r="P11" s="4">
        <f>SUM(C11:O11)</f>
        <v/>
      </c>
      <c r="Q11" s="4">
        <f>Q10+P11</f>
        <v/>
      </c>
    </row>
    <row r="12">
      <c r="A12" s="2" t="n">
        <v>10</v>
      </c>
      <c r="B12" s="2" t="inlineStr">
        <is>
          <t>2027-11</t>
        </is>
      </c>
      <c r="C12" s="17" t="n">
        <v>0</v>
      </c>
      <c r="D12" s="17" t="n">
        <v>6000</v>
      </c>
      <c r="E12" s="17" t="n">
        <v>0</v>
      </c>
      <c r="F12" s="17" t="n">
        <v>-1020</v>
      </c>
      <c r="G12" s="17" t="n">
        <v>-0</v>
      </c>
      <c r="H12" s="17" t="n">
        <v>-0</v>
      </c>
      <c r="I12" s="17" t="n">
        <v>-0</v>
      </c>
      <c r="J12" s="17" t="n">
        <v>-0</v>
      </c>
      <c r="K12" s="17" t="n">
        <v>-0</v>
      </c>
      <c r="L12" s="17" t="n">
        <v>-0</v>
      </c>
      <c r="M12" s="17" t="n">
        <v>-2500</v>
      </c>
      <c r="N12" s="17" t="n">
        <v>-0</v>
      </c>
      <c r="O12" s="17" t="n">
        <v>0</v>
      </c>
      <c r="P12" s="4">
        <f>SUM(C12:O12)</f>
        <v/>
      </c>
      <c r="Q12" s="4">
        <f>Q11+P12</f>
        <v/>
      </c>
    </row>
    <row r="13">
      <c r="A13" s="2" t="n">
        <v>11</v>
      </c>
      <c r="B13" s="2" t="inlineStr">
        <is>
          <t>2027-12</t>
        </is>
      </c>
      <c r="C13" s="17" t="n">
        <v>0</v>
      </c>
      <c r="D13" s="17" t="n">
        <v>6000</v>
      </c>
      <c r="E13" s="17" t="n">
        <v>0</v>
      </c>
      <c r="F13" s="17" t="n">
        <v>-1020</v>
      </c>
      <c r="G13" s="17" t="n">
        <v>-0</v>
      </c>
      <c r="H13" s="17" t="n">
        <v>-0</v>
      </c>
      <c r="I13" s="17" t="n">
        <v>-0</v>
      </c>
      <c r="J13" s="17" t="n">
        <v>-0</v>
      </c>
      <c r="K13" s="17" t="n">
        <v>-0</v>
      </c>
      <c r="L13" s="17" t="n">
        <v>-0</v>
      </c>
      <c r="M13" s="17" t="n">
        <v>-2500</v>
      </c>
      <c r="N13" s="17" t="n">
        <v>-0</v>
      </c>
      <c r="O13" s="17" t="n">
        <v>0</v>
      </c>
      <c r="P13" s="4">
        <f>SUM(C13:O13)</f>
        <v/>
      </c>
      <c r="Q13" s="4">
        <f>Q12+P13</f>
        <v/>
      </c>
    </row>
    <row r="14">
      <c r="A14" s="2" t="n">
        <v>12</v>
      </c>
      <c r="B14" s="2" t="inlineStr">
        <is>
          <t>2028-01</t>
        </is>
      </c>
      <c r="C14" s="17" t="n">
        <v>0</v>
      </c>
      <c r="D14" s="17" t="n">
        <v>6000</v>
      </c>
      <c r="E14" s="17" t="n">
        <v>0</v>
      </c>
      <c r="F14" s="17" t="n">
        <v>-1020</v>
      </c>
      <c r="G14" s="17" t="n">
        <v>-0</v>
      </c>
      <c r="H14" s="17" t="n">
        <v>-0</v>
      </c>
      <c r="I14" s="17" t="n">
        <v>-0</v>
      </c>
      <c r="J14" s="17" t="n">
        <v>-0</v>
      </c>
      <c r="K14" s="17" t="n">
        <v>-0</v>
      </c>
      <c r="L14" s="17" t="n">
        <v>-0</v>
      </c>
      <c r="M14" s="17" t="n">
        <v>-2500</v>
      </c>
      <c r="N14" s="17" t="n">
        <v>-0</v>
      </c>
      <c r="O14" s="17" t="n">
        <v>0</v>
      </c>
      <c r="P14" s="4">
        <f>SUM(C14:O14)</f>
        <v/>
      </c>
      <c r="Q14" s="4">
        <f>Q13+P14</f>
        <v/>
      </c>
    </row>
    <row r="15">
      <c r="A15" s="2" t="n">
        <v>13</v>
      </c>
      <c r="B15" s="2" t="inlineStr">
        <is>
          <t>2028-02</t>
        </is>
      </c>
      <c r="C15" s="17" t="n">
        <v>0</v>
      </c>
      <c r="D15" s="17" t="n">
        <v>6000</v>
      </c>
      <c r="E15" s="17" t="n">
        <v>0</v>
      </c>
      <c r="F15" s="17" t="n">
        <v>-1020</v>
      </c>
      <c r="G15" s="17" t="n">
        <v>-0</v>
      </c>
      <c r="H15" s="17" t="n">
        <v>-0</v>
      </c>
      <c r="I15" s="17" t="n">
        <v>-0</v>
      </c>
      <c r="J15" s="17" t="n">
        <v>-0</v>
      </c>
      <c r="K15" s="17" t="n">
        <v>-0</v>
      </c>
      <c r="L15" s="17" t="n">
        <v>-0</v>
      </c>
      <c r="M15" s="17" t="n">
        <v>-2500</v>
      </c>
      <c r="N15" s="17" t="n">
        <v>-0</v>
      </c>
      <c r="O15" s="17" t="n">
        <v>0</v>
      </c>
      <c r="P15" s="4">
        <f>SUM(C15:O15)</f>
        <v/>
      </c>
      <c r="Q15" s="4">
        <f>Q14+P15</f>
        <v/>
      </c>
    </row>
    <row r="16">
      <c r="A16" s="2" t="n">
        <v>14</v>
      </c>
      <c r="B16" s="2" t="inlineStr">
        <is>
          <t>2028-03</t>
        </is>
      </c>
      <c r="C16" s="17" t="n">
        <v>0</v>
      </c>
      <c r="D16" s="17" t="n">
        <v>6000</v>
      </c>
      <c r="E16" s="17" t="n">
        <v>0</v>
      </c>
      <c r="F16" s="17" t="n">
        <v>-1020</v>
      </c>
      <c r="G16" s="17" t="n">
        <v>-0</v>
      </c>
      <c r="H16" s="17" t="n">
        <v>-0</v>
      </c>
      <c r="I16" s="17" t="n">
        <v>-0</v>
      </c>
      <c r="J16" s="17" t="n">
        <v>-0</v>
      </c>
      <c r="K16" s="17" t="n">
        <v>-0</v>
      </c>
      <c r="L16" s="17" t="n">
        <v>-0</v>
      </c>
      <c r="M16" s="17" t="n">
        <v>-2500</v>
      </c>
      <c r="N16" s="17" t="n">
        <v>-0</v>
      </c>
      <c r="O16" s="17" t="n">
        <v>0</v>
      </c>
      <c r="P16" s="4">
        <f>SUM(C16:O16)</f>
        <v/>
      </c>
      <c r="Q16" s="4">
        <f>Q15+P16</f>
        <v/>
      </c>
    </row>
    <row r="17">
      <c r="A17" s="2" t="n">
        <v>15</v>
      </c>
      <c r="B17" s="2" t="inlineStr">
        <is>
          <t>2028-04</t>
        </is>
      </c>
      <c r="C17" s="17" t="n">
        <v>0</v>
      </c>
      <c r="D17" s="17" t="n">
        <v>6000</v>
      </c>
      <c r="E17" s="17" t="n">
        <v>0</v>
      </c>
      <c r="F17" s="17" t="n">
        <v>-1020</v>
      </c>
      <c r="G17" s="17" t="n">
        <v>-0</v>
      </c>
      <c r="H17" s="17" t="n">
        <v>-0</v>
      </c>
      <c r="I17" s="17" t="n">
        <v>-0</v>
      </c>
      <c r="J17" s="17" t="n">
        <v>-0</v>
      </c>
      <c r="K17" s="17" t="n">
        <v>-0</v>
      </c>
      <c r="L17" s="17" t="n">
        <v>-0</v>
      </c>
      <c r="M17" s="17" t="n">
        <v>-2500</v>
      </c>
      <c r="N17" s="17" t="n">
        <v>-0</v>
      </c>
      <c r="O17" s="17" t="n">
        <v>0</v>
      </c>
      <c r="P17" s="4">
        <f>SUM(C17:O17)</f>
        <v/>
      </c>
      <c r="Q17" s="4">
        <f>Q16+P17</f>
        <v/>
      </c>
    </row>
    <row r="18">
      <c r="A18" s="2" t="n">
        <v>16</v>
      </c>
      <c r="B18" s="2" t="inlineStr">
        <is>
          <t>2028-05</t>
        </is>
      </c>
      <c r="C18" s="17" t="n">
        <v>0</v>
      </c>
      <c r="D18" s="17" t="n">
        <v>6000</v>
      </c>
      <c r="E18" s="17" t="n">
        <v>0</v>
      </c>
      <c r="F18" s="17" t="n">
        <v>-1020</v>
      </c>
      <c r="G18" s="17" t="n">
        <v>-0</v>
      </c>
      <c r="H18" s="17" t="n">
        <v>-0</v>
      </c>
      <c r="I18" s="17" t="n">
        <v>-0</v>
      </c>
      <c r="J18" s="17" t="n">
        <v>-0</v>
      </c>
      <c r="K18" s="17" t="n">
        <v>-0</v>
      </c>
      <c r="L18" s="17" t="n">
        <v>-0</v>
      </c>
      <c r="M18" s="17" t="n">
        <v>-2500</v>
      </c>
      <c r="N18" s="17" t="n">
        <v>-0</v>
      </c>
      <c r="O18" s="17" t="n">
        <v>0</v>
      </c>
      <c r="P18" s="4">
        <f>SUM(C18:O18)</f>
        <v/>
      </c>
      <c r="Q18" s="4">
        <f>Q17+P18</f>
        <v/>
      </c>
    </row>
    <row r="19">
      <c r="A19" s="2" t="n">
        <v>17</v>
      </c>
      <c r="B19" s="2" t="inlineStr">
        <is>
          <t>2028-06</t>
        </is>
      </c>
      <c r="C19" s="17" t="n">
        <v>0</v>
      </c>
      <c r="D19" s="17" t="n">
        <v>6000</v>
      </c>
      <c r="E19" s="17" t="n">
        <v>0</v>
      </c>
      <c r="F19" s="17" t="n">
        <v>-1020</v>
      </c>
      <c r="G19" s="17" t="n">
        <v>-0</v>
      </c>
      <c r="H19" s="17" t="n">
        <v>-0</v>
      </c>
      <c r="I19" s="17" t="n">
        <v>-0</v>
      </c>
      <c r="J19" s="17" t="n">
        <v>-0</v>
      </c>
      <c r="K19" s="17" t="n">
        <v>-0</v>
      </c>
      <c r="L19" s="17" t="n">
        <v>-0</v>
      </c>
      <c r="M19" s="17" t="n">
        <v>-2500</v>
      </c>
      <c r="N19" s="17" t="n">
        <v>-0</v>
      </c>
      <c r="O19" s="17" t="n">
        <v>0</v>
      </c>
      <c r="P19" s="4">
        <f>SUM(C19:O19)</f>
        <v/>
      </c>
      <c r="Q19" s="4">
        <f>Q18+P19</f>
        <v/>
      </c>
    </row>
    <row r="20">
      <c r="A20" s="2" t="n">
        <v>18</v>
      </c>
      <c r="B20" s="2" t="inlineStr">
        <is>
          <t>2028-07</t>
        </is>
      </c>
      <c r="C20" s="17" t="n">
        <v>0</v>
      </c>
      <c r="D20" s="17" t="n">
        <v>6000</v>
      </c>
      <c r="E20" s="17" t="n">
        <v>0</v>
      </c>
      <c r="F20" s="17" t="n">
        <v>-1020</v>
      </c>
      <c r="G20" s="17" t="n">
        <v>-0</v>
      </c>
      <c r="H20" s="17" t="n">
        <v>-0</v>
      </c>
      <c r="I20" s="17" t="n">
        <v>-0</v>
      </c>
      <c r="J20" s="17" t="n">
        <v>-0</v>
      </c>
      <c r="K20" s="17" t="n">
        <v>-0</v>
      </c>
      <c r="L20" s="17" t="n">
        <v>-0</v>
      </c>
      <c r="M20" s="17" t="n">
        <v>-2500</v>
      </c>
      <c r="N20" s="17" t="n">
        <v>-0</v>
      </c>
      <c r="O20" s="17" t="n">
        <v>0</v>
      </c>
      <c r="P20" s="4">
        <f>SUM(C20:O20)</f>
        <v/>
      </c>
      <c r="Q20" s="4">
        <f>Q19+P20</f>
        <v/>
      </c>
    </row>
    <row r="21">
      <c r="A21" s="2" t="n">
        <v>19</v>
      </c>
      <c r="B21" s="2" t="inlineStr">
        <is>
          <t>2028-08</t>
        </is>
      </c>
      <c r="C21" s="17" t="n">
        <v>0</v>
      </c>
      <c r="D21" s="17" t="n">
        <v>6000</v>
      </c>
      <c r="E21" s="17" t="n">
        <v>0</v>
      </c>
      <c r="F21" s="17" t="n">
        <v>-1020</v>
      </c>
      <c r="G21" s="17" t="n">
        <v>-0</v>
      </c>
      <c r="H21" s="17" t="n">
        <v>-0</v>
      </c>
      <c r="I21" s="17" t="n">
        <v>-0</v>
      </c>
      <c r="J21" s="17" t="n">
        <v>-0</v>
      </c>
      <c r="K21" s="17" t="n">
        <v>-0</v>
      </c>
      <c r="L21" s="17" t="n">
        <v>-0</v>
      </c>
      <c r="M21" s="17" t="n">
        <v>-2500</v>
      </c>
      <c r="N21" s="17" t="n">
        <v>-0</v>
      </c>
      <c r="O21" s="17" t="n">
        <v>0</v>
      </c>
      <c r="P21" s="4">
        <f>SUM(C21:O21)</f>
        <v/>
      </c>
      <c r="Q21" s="4">
        <f>Q20+P21</f>
        <v/>
      </c>
    </row>
    <row r="22">
      <c r="A22" s="2" t="n">
        <v>20</v>
      </c>
      <c r="B22" s="2" t="inlineStr">
        <is>
          <t>2028-09</t>
        </is>
      </c>
      <c r="C22" s="17" t="n">
        <v>0</v>
      </c>
      <c r="D22" s="17" t="n">
        <v>6000</v>
      </c>
      <c r="E22" s="17" t="n">
        <v>0</v>
      </c>
      <c r="F22" s="17" t="n">
        <v>-1020</v>
      </c>
      <c r="G22" s="17" t="n">
        <v>-0</v>
      </c>
      <c r="H22" s="17" t="n">
        <v>-0</v>
      </c>
      <c r="I22" s="17" t="n">
        <v>-0</v>
      </c>
      <c r="J22" s="17" t="n">
        <v>-0</v>
      </c>
      <c r="K22" s="17" t="n">
        <v>-0</v>
      </c>
      <c r="L22" s="17" t="n">
        <v>-0</v>
      </c>
      <c r="M22" s="17" t="n">
        <v>-2500</v>
      </c>
      <c r="N22" s="17" t="n">
        <v>-0</v>
      </c>
      <c r="O22" s="17" t="n">
        <v>0</v>
      </c>
      <c r="P22" s="4">
        <f>SUM(C22:O22)</f>
        <v/>
      </c>
      <c r="Q22" s="4">
        <f>Q21+P22</f>
        <v/>
      </c>
    </row>
    <row r="23">
      <c r="A23" s="2" t="n">
        <v>21</v>
      </c>
      <c r="B23" s="2" t="inlineStr">
        <is>
          <t>2028-10</t>
        </is>
      </c>
      <c r="C23" s="17" t="n">
        <v>0</v>
      </c>
      <c r="D23" s="17" t="n">
        <v>6000</v>
      </c>
      <c r="E23" s="17" t="n">
        <v>0</v>
      </c>
      <c r="F23" s="17" t="n">
        <v>-1020</v>
      </c>
      <c r="G23" s="17" t="n">
        <v>-0</v>
      </c>
      <c r="H23" s="17" t="n">
        <v>-0</v>
      </c>
      <c r="I23" s="17" t="n">
        <v>-0</v>
      </c>
      <c r="J23" s="17" t="n">
        <v>-0</v>
      </c>
      <c r="K23" s="17" t="n">
        <v>-0</v>
      </c>
      <c r="L23" s="17" t="n">
        <v>-0</v>
      </c>
      <c r="M23" s="17" t="n">
        <v>-2500</v>
      </c>
      <c r="N23" s="17" t="n">
        <v>-0</v>
      </c>
      <c r="O23" s="17" t="n">
        <v>0</v>
      </c>
      <c r="P23" s="4">
        <f>SUM(C23:O23)</f>
        <v/>
      </c>
      <c r="Q23" s="4">
        <f>Q22+P23</f>
        <v/>
      </c>
    </row>
    <row r="24">
      <c r="A24" s="2" t="n">
        <v>22</v>
      </c>
      <c r="B24" s="2" t="inlineStr">
        <is>
          <t>2028-11</t>
        </is>
      </c>
      <c r="C24" s="17" t="n">
        <v>0</v>
      </c>
      <c r="D24" s="17" t="n">
        <v>6000</v>
      </c>
      <c r="E24" s="17" t="n">
        <v>0</v>
      </c>
      <c r="F24" s="17" t="n">
        <v>-1020</v>
      </c>
      <c r="G24" s="17" t="n">
        <v>-0</v>
      </c>
      <c r="H24" s="17" t="n">
        <v>-0</v>
      </c>
      <c r="I24" s="17" t="n">
        <v>-0</v>
      </c>
      <c r="J24" s="17" t="n">
        <v>-0</v>
      </c>
      <c r="K24" s="17" t="n">
        <v>-0</v>
      </c>
      <c r="L24" s="17" t="n">
        <v>-0</v>
      </c>
      <c r="M24" s="17" t="n">
        <v>-2500</v>
      </c>
      <c r="N24" s="17" t="n">
        <v>-0</v>
      </c>
      <c r="O24" s="17" t="n">
        <v>0</v>
      </c>
      <c r="P24" s="4">
        <f>SUM(C24:O24)</f>
        <v/>
      </c>
      <c r="Q24" s="4">
        <f>Q23+P24</f>
        <v/>
      </c>
    </row>
    <row r="25">
      <c r="A25" s="2" t="n">
        <v>23</v>
      </c>
      <c r="B25" s="2" t="inlineStr">
        <is>
          <t>2028-12</t>
        </is>
      </c>
      <c r="C25" s="17" t="n">
        <v>0</v>
      </c>
      <c r="D25" s="17" t="n">
        <v>6000</v>
      </c>
      <c r="E25" s="17" t="n">
        <v>0</v>
      </c>
      <c r="F25" s="17" t="n">
        <v>-1020</v>
      </c>
      <c r="G25" s="17" t="n">
        <v>-0</v>
      </c>
      <c r="H25" s="17" t="n">
        <v>-0</v>
      </c>
      <c r="I25" s="17" t="n">
        <v>-0</v>
      </c>
      <c r="J25" s="17" t="n">
        <v>-0</v>
      </c>
      <c r="K25" s="17" t="n">
        <v>-0</v>
      </c>
      <c r="L25" s="17" t="n">
        <v>-0</v>
      </c>
      <c r="M25" s="17" t="n">
        <v>-2500</v>
      </c>
      <c r="N25" s="17" t="n">
        <v>-0</v>
      </c>
      <c r="O25" s="17" t="n">
        <v>0</v>
      </c>
      <c r="P25" s="4">
        <f>SUM(C25:O25)</f>
        <v/>
      </c>
      <c r="Q25" s="4">
        <f>Q24+P25</f>
        <v/>
      </c>
    </row>
    <row r="26">
      <c r="A26" s="2" t="n">
        <v>24</v>
      </c>
      <c r="B26" s="2" t="inlineStr">
        <is>
          <t>2029-01</t>
        </is>
      </c>
      <c r="C26" s="17" t="n">
        <v>0</v>
      </c>
      <c r="D26" s="17" t="n">
        <v>6000</v>
      </c>
      <c r="E26" s="17" t="n">
        <v>0</v>
      </c>
      <c r="F26" s="17" t="n">
        <v>-1020</v>
      </c>
      <c r="G26" s="17" t="n">
        <v>-0</v>
      </c>
      <c r="H26" s="17" t="n">
        <v>-0</v>
      </c>
      <c r="I26" s="17" t="n">
        <v>-0</v>
      </c>
      <c r="J26" s="17" t="n">
        <v>-0</v>
      </c>
      <c r="K26" s="17" t="n">
        <v>-0</v>
      </c>
      <c r="L26" s="17" t="n">
        <v>-0</v>
      </c>
      <c r="M26" s="17" t="n">
        <v>-2500</v>
      </c>
      <c r="N26" s="17" t="n">
        <v>-0</v>
      </c>
      <c r="O26" s="17" t="n">
        <v>0</v>
      </c>
      <c r="P26" s="4">
        <f>SUM(C26:O26)</f>
        <v/>
      </c>
      <c r="Q26" s="4">
        <f>Q25+P26</f>
        <v/>
      </c>
    </row>
    <row r="27">
      <c r="A27" s="2" t="n">
        <v>25</v>
      </c>
      <c r="B27" s="2" t="inlineStr">
        <is>
          <t>2029-02</t>
        </is>
      </c>
      <c r="C27" s="17" t="n">
        <v>0</v>
      </c>
      <c r="D27" s="17" t="n">
        <v>6000</v>
      </c>
      <c r="E27" s="17" t="n">
        <v>0</v>
      </c>
      <c r="F27" s="17" t="n">
        <v>-1020</v>
      </c>
      <c r="G27" s="17" t="n">
        <v>-0</v>
      </c>
      <c r="H27" s="17" t="n">
        <v>-0</v>
      </c>
      <c r="I27" s="17" t="n">
        <v>-0</v>
      </c>
      <c r="J27" s="17" t="n">
        <v>-0</v>
      </c>
      <c r="K27" s="17" t="n">
        <v>-0</v>
      </c>
      <c r="L27" s="17" t="n">
        <v>-0</v>
      </c>
      <c r="M27" s="17" t="n">
        <v>-2500</v>
      </c>
      <c r="N27" s="17" t="n">
        <v>-0</v>
      </c>
      <c r="O27" s="17" t="n">
        <v>0</v>
      </c>
      <c r="P27" s="4">
        <f>SUM(C27:O27)</f>
        <v/>
      </c>
      <c r="Q27" s="4">
        <f>Q26+P27</f>
        <v/>
      </c>
    </row>
    <row r="28">
      <c r="A28" s="2" t="n">
        <v>26</v>
      </c>
      <c r="B28" s="2" t="inlineStr">
        <is>
          <t>2029-03</t>
        </is>
      </c>
      <c r="C28" s="17" t="n">
        <v>0</v>
      </c>
      <c r="D28" s="17" t="n">
        <v>6000</v>
      </c>
      <c r="E28" s="17" t="n">
        <v>0</v>
      </c>
      <c r="F28" s="17" t="n">
        <v>-1020</v>
      </c>
      <c r="G28" s="17" t="n">
        <v>-0</v>
      </c>
      <c r="H28" s="17" t="n">
        <v>-0</v>
      </c>
      <c r="I28" s="17" t="n">
        <v>-0</v>
      </c>
      <c r="J28" s="17" t="n">
        <v>-0</v>
      </c>
      <c r="K28" s="17" t="n">
        <v>-0</v>
      </c>
      <c r="L28" s="17" t="n">
        <v>-0</v>
      </c>
      <c r="M28" s="17" t="n">
        <v>-2500</v>
      </c>
      <c r="N28" s="17" t="n">
        <v>-0</v>
      </c>
      <c r="O28" s="17" t="n">
        <v>0</v>
      </c>
      <c r="P28" s="4">
        <f>SUM(C28:O28)</f>
        <v/>
      </c>
      <c r="Q28" s="4">
        <f>Q27+P28</f>
        <v/>
      </c>
    </row>
    <row r="29">
      <c r="A29" s="2" t="n">
        <v>27</v>
      </c>
      <c r="B29" s="2" t="inlineStr">
        <is>
          <t>2029-04</t>
        </is>
      </c>
      <c r="C29" s="17" t="n">
        <v>0</v>
      </c>
      <c r="D29" s="17" t="n">
        <v>6000</v>
      </c>
      <c r="E29" s="17" t="n">
        <v>0</v>
      </c>
      <c r="F29" s="17" t="n">
        <v>-1020</v>
      </c>
      <c r="G29" s="17" t="n">
        <v>-0</v>
      </c>
      <c r="H29" s="17" t="n">
        <v>-0</v>
      </c>
      <c r="I29" s="17" t="n">
        <v>-0</v>
      </c>
      <c r="J29" s="17" t="n">
        <v>-0</v>
      </c>
      <c r="K29" s="17" t="n">
        <v>-0</v>
      </c>
      <c r="L29" s="17" t="n">
        <v>-0</v>
      </c>
      <c r="M29" s="17" t="n">
        <v>-2500</v>
      </c>
      <c r="N29" s="17" t="n">
        <v>-0</v>
      </c>
      <c r="O29" s="17" t="n">
        <v>0</v>
      </c>
      <c r="P29" s="4">
        <f>SUM(C29:O29)</f>
        <v/>
      </c>
      <c r="Q29" s="4">
        <f>Q28+P29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1" t="inlineStr">
        <is>
          <t>Linha</t>
        </is>
      </c>
      <c r="B1" s="1" t="inlineStr">
        <is>
          <t>Valor (R$)</t>
        </is>
      </c>
      <c r="C1" s="1" t="inlineStr">
        <is>
          <t>% receita bruta</t>
        </is>
      </c>
    </row>
    <row r="2">
      <c r="A2" s="20" t="inlineStr">
        <is>
          <t>Receita bruta</t>
        </is>
      </c>
      <c r="B2" s="21">
        <f>SUM(Fluxo_de_caixa!C2:C29)+SUM(Fluxo_de_caixa!D2:D29)+SUM(Fluxo_de_caixa!E2:E29)</f>
        <v/>
      </c>
      <c r="C2" s="22">
        <f>IF($B$2=0,0,B2/$B$2)</f>
        <v/>
      </c>
    </row>
    <row r="3">
      <c r="A3" s="2" t="inlineStr">
        <is>
          <t>(-) Impostos sobre receita</t>
        </is>
      </c>
      <c r="B3" s="3">
        <f>SUM(Fluxo_de_caixa!F2:F29)</f>
        <v/>
      </c>
      <c r="C3" s="5">
        <f>IF($B$2=0,0,B3/$B$2)</f>
        <v/>
      </c>
    </row>
    <row r="4">
      <c r="A4" s="20" t="inlineStr">
        <is>
          <t>Receita líquida</t>
        </is>
      </c>
      <c r="B4" s="23">
        <f>B2+B3</f>
        <v/>
      </c>
      <c r="C4" s="22">
        <f>IF($B$2=0,0,B4/$B$2)</f>
        <v/>
      </c>
    </row>
    <row r="5">
      <c r="A5" s="2" t="inlineStr">
        <is>
          <t>(-) Equipamentos</t>
        </is>
      </c>
      <c r="B5" s="3">
        <f>SUM(Fluxo_de_caixa!H2:H29)</f>
        <v/>
      </c>
      <c r="C5" s="5">
        <f>IF($B$2=0,0,B5/$B$2)</f>
        <v/>
      </c>
    </row>
    <row r="6">
      <c r="A6" s="2" t="inlineStr">
        <is>
          <t>(-) Mão de obra direta</t>
        </is>
      </c>
      <c r="B6" s="3">
        <f>SUM(Fluxo_de_caixa!I2:I29)</f>
        <v/>
      </c>
      <c r="C6" s="5">
        <f>IF($B$2=0,0,B6/$B$2)</f>
        <v/>
      </c>
    </row>
    <row r="7">
      <c r="A7" s="2" t="inlineStr">
        <is>
          <t>(-) Custos recorrentes (O&amp;M)</t>
        </is>
      </c>
      <c r="B7" s="3">
        <f>SUM(Fluxo_de_caixa!M2:M29)</f>
        <v/>
      </c>
      <c r="C7" s="5">
        <f>IF($B$2=0,0,B7/$B$2)</f>
        <v/>
      </c>
    </row>
    <row r="8">
      <c r="A8" s="2" t="inlineStr">
        <is>
          <t>(-) Custos variáveis da operação comercial</t>
        </is>
      </c>
      <c r="B8" s="3">
        <f>SUM(Fluxo_de_caixa!N2:N29)</f>
        <v/>
      </c>
      <c r="C8" s="5">
        <f>IF($B$2=0,0,B8/$B$2)</f>
        <v/>
      </c>
    </row>
    <row r="9">
      <c r="A9" s="20" t="inlineStr">
        <is>
          <t>Lucro bruto</t>
        </is>
      </c>
      <c r="B9" s="23">
        <f>B4+B5+B6+B7+B8</f>
        <v/>
      </c>
      <c r="C9" s="22">
        <f>IF($B$2=0,0,B9/$B$2)</f>
        <v/>
      </c>
    </row>
    <row r="10">
      <c r="A10" s="2" t="inlineStr">
        <is>
          <t>(-) Comissão</t>
        </is>
      </c>
      <c r="B10" s="3">
        <f>SUM(Fluxo_de_caixa!G2:G29)</f>
        <v/>
      </c>
      <c r="C10" s="5">
        <f>IF($B$2=0,0,B10/$B$2)</f>
        <v/>
      </c>
    </row>
    <row r="11">
      <c r="A11" s="2" t="inlineStr">
        <is>
          <t>(-) Indiretos</t>
        </is>
      </c>
      <c r="B11" s="3">
        <f>SUM(Fluxo_de_caixa!J2:J29)</f>
        <v/>
      </c>
      <c r="C11" s="5">
        <f>IF($B$2=0,0,B11/$B$2)</f>
        <v/>
      </c>
    </row>
    <row r="12">
      <c r="A12" s="2" t="inlineStr">
        <is>
          <t>(-) Overhead</t>
        </is>
      </c>
      <c r="B12" s="3">
        <f>SUM(Fluxo_de_caixa!K2:K29)</f>
        <v/>
      </c>
      <c r="C12" s="5">
        <f>IF($B$2=0,0,B12/$B$2)</f>
        <v/>
      </c>
    </row>
    <row r="13">
      <c r="A13" s="2" t="inlineStr">
        <is>
          <t>(-) Contingência</t>
        </is>
      </c>
      <c r="B13" s="3">
        <f>SUM(Fluxo_de_caixa!L2:L29)</f>
        <v/>
      </c>
      <c r="C13" s="5">
        <f>IF($B$2=0,0,B13/$B$2)</f>
        <v/>
      </c>
    </row>
    <row r="14">
      <c r="A14" s="20" t="inlineStr">
        <is>
          <t>Resultado operacional</t>
        </is>
      </c>
      <c r="B14" s="23">
        <f>B9+B10+B11+B12+B13</f>
        <v/>
      </c>
      <c r="C14" s="22">
        <f>IF($B$2=0,0,B14/$B$2)</f>
        <v/>
      </c>
    </row>
    <row r="15">
      <c r="A15" s="2" t="inlineStr">
        <is>
          <t>(-) Custo financeiro</t>
        </is>
      </c>
      <c r="B15" s="3">
        <f>SUM(Fluxo_de_caixa!O2:O29)</f>
        <v/>
      </c>
      <c r="C15" s="5">
        <f>IF($B$2=0,0,B15/$B$2)</f>
        <v/>
      </c>
    </row>
    <row r="16">
      <c r="A16" s="20" t="inlineStr">
        <is>
          <t>Resultado do projeto</t>
        </is>
      </c>
      <c r="B16" s="23">
        <f>B14+B15</f>
        <v/>
      </c>
      <c r="C16" s="22">
        <f>IF($B$2=0,0,B16/$B$2)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Evento</t>
        </is>
      </c>
      <c r="C1" s="1" t="inlineStr">
        <is>
          <t>%</t>
        </is>
      </c>
      <c r="D1" s="1" t="inlineStr">
        <is>
          <t>Mês (índice)</t>
        </is>
      </c>
      <c r="E1" s="1" t="inlineStr">
        <is>
          <t>Valor (R$)</t>
        </is>
      </c>
    </row>
    <row r="2">
      <c r="A2" s="10" t="inlineStr">
        <is>
          <t>M1</t>
        </is>
      </c>
      <c r="B2" s="10" t="inlineStr">
        <is>
          <t>Assinatura</t>
        </is>
      </c>
      <c r="C2" s="13" t="n">
        <v>0.3</v>
      </c>
      <c r="D2" s="10" t="n">
        <v>0</v>
      </c>
      <c r="E2" s="17" t="n">
        <v>509830.9814274421</v>
      </c>
    </row>
    <row r="3">
      <c r="A3" s="10" t="inlineStr">
        <is>
          <t>M2</t>
        </is>
      </c>
      <c r="B3" s="10" t="inlineStr">
        <is>
          <t>Entrega dos equipamentos</t>
        </is>
      </c>
      <c r="C3" s="13" t="n">
        <v>0.4</v>
      </c>
      <c r="D3" s="10" t="n">
        <v>3</v>
      </c>
      <c r="E3" s="17" t="n">
        <v>679774.6419032562</v>
      </c>
    </row>
    <row r="4">
      <c r="A4" s="10" t="inlineStr">
        <is>
          <t>M3</t>
        </is>
      </c>
      <c r="B4" s="10" t="inlineStr">
        <is>
          <t>Aceite</t>
        </is>
      </c>
      <c r="C4" s="13" t="n">
        <v>0.3</v>
      </c>
      <c r="D4" s="10" t="n">
        <v>4</v>
      </c>
      <c r="E4" s="17" t="n">
        <v>509830.9814274421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iteracoes</t>
        </is>
      </c>
      <c r="B2" s="8" t="n">
        <v>10000</v>
      </c>
    </row>
    <row r="3">
      <c r="A3" s="2" t="inlineStr">
        <is>
          <t>custo_p10</t>
        </is>
      </c>
      <c r="B3" s="4" t="n">
        <v>801697.9491808895</v>
      </c>
    </row>
    <row r="4">
      <c r="A4" s="2" t="inlineStr">
        <is>
          <t>custo_p50</t>
        </is>
      </c>
      <c r="B4" s="4" t="n">
        <v>895569.3786199453</v>
      </c>
    </row>
    <row r="5">
      <c r="A5" s="2" t="inlineStr">
        <is>
          <t>custo_p80</t>
        </is>
      </c>
      <c r="B5" s="4" t="n">
        <v>961881.1182931074</v>
      </c>
    </row>
    <row r="6">
      <c r="A6" s="2" t="inlineStr">
        <is>
          <t>custo_p90</t>
        </is>
      </c>
      <c r="B6" s="4" t="n">
        <v>998198.3524689922</v>
      </c>
    </row>
    <row r="7">
      <c r="A7" s="2" t="inlineStr">
        <is>
          <t>prazo_p50_dias</t>
        </is>
      </c>
      <c r="B7" s="8" t="n">
        <v>121.9085757085045</v>
      </c>
    </row>
    <row r="8">
      <c r="A8" s="2" t="inlineStr">
        <is>
          <t>prazo_p80_dias</t>
        </is>
      </c>
      <c r="B8" s="8" t="n">
        <v>137.5815236470532</v>
      </c>
    </row>
    <row r="10">
      <c r="A10" s="9" t="inlineStr">
        <is>
          <t>Maiores contribuidores de incerteza</t>
        </is>
      </c>
    </row>
    <row r="11">
      <c r="A11" s="2" t="inlineStr">
        <is>
          <t>BOM B01 AMR 100 kg</t>
        </is>
      </c>
      <c r="B11" s="24" t="n">
        <v>0.989</v>
      </c>
    </row>
    <row r="12">
      <c r="A12" s="2" t="inlineStr">
        <is>
          <t>BOM B02 Estação de recarga</t>
        </is>
      </c>
      <c r="B12" s="24" t="n">
        <v>0.335</v>
      </c>
    </row>
    <row r="13">
      <c r="A13" s="2" t="inlineStr">
        <is>
          <t>Risco RK01 Retenção aduaneira</t>
        </is>
      </c>
      <c r="B13" s="24" t="n">
        <v>0.076</v>
      </c>
    </row>
    <row r="14">
      <c r="A14" s="2" t="inlineStr">
        <is>
          <t>Horas E01 Engenheiro de software sênior</t>
        </is>
      </c>
      <c r="B14" s="24" t="n">
        <v>0.07199999999999999</v>
      </c>
    </row>
    <row r="15">
      <c r="A15" s="2" t="inlineStr">
        <is>
          <t>Horas O01 Engenheiro de software sênior</t>
        </is>
      </c>
      <c r="B15" s="24" t="n">
        <v>0.068</v>
      </c>
    </row>
    <row r="16">
      <c r="A16" s="2" t="inlineStr">
        <is>
          <t>Horas G01 Diretor técnico (CTO)</t>
        </is>
      </c>
      <c r="B16" s="24" t="n">
        <v>0.06</v>
      </c>
    </row>
    <row r="17">
      <c r="A17" s="2" t="inlineStr">
        <is>
          <t>Horas E02 Engenheiro eletrônico pleno</t>
        </is>
      </c>
      <c r="B17" s="24" t="n">
        <v>0.05</v>
      </c>
    </row>
    <row r="18">
      <c r="A18" s="2" t="inlineStr">
        <is>
          <t>Indireto I02 Viagens</t>
        </is>
      </c>
      <c r="B18" s="24" t="n">
        <v>0.015</v>
      </c>
    </row>
    <row r="19">
      <c r="A19" s="2" t="inlineStr">
        <is>
          <t>Indireto I01 Frete e desembaraço</t>
        </is>
      </c>
      <c r="B19" s="24" t="n">
        <v>0.012</v>
      </c>
    </row>
    <row r="20">
      <c r="A20" s="2" t="inlineStr">
        <is>
          <t>BOM B03 Licença de software</t>
        </is>
      </c>
      <c r="B20" s="24" t="n">
        <v>0.006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Probabilidade</t>
        </is>
      </c>
      <c r="E1" s="1" t="inlineStr">
        <is>
          <t>Impacto custo (provável)</t>
        </is>
      </c>
      <c r="F1" s="1" t="inlineStr">
        <is>
          <t>Impacto prazo (dias)</t>
        </is>
      </c>
      <c r="G1" s="1" t="inlineStr">
        <is>
          <t>Mitigação</t>
        </is>
      </c>
      <c r="H1" s="1" t="inlineStr">
        <is>
          <t>Dono</t>
        </is>
      </c>
      <c r="I1" s="1" t="inlineStr">
        <is>
          <t>No Monte Carlo</t>
        </is>
      </c>
    </row>
    <row r="2">
      <c r="A2" s="10" t="inlineStr">
        <is>
          <t>RK01</t>
        </is>
      </c>
      <c r="B2" s="10" t="inlineStr">
        <is>
          <t>Retenção aduaneira</t>
        </is>
      </c>
      <c r="C2" s="10" t="inlineStr">
        <is>
          <t>suprimentos</t>
        </is>
      </c>
      <c r="D2" s="13" t="n">
        <v>0.2</v>
      </c>
      <c r="E2" s="17" t="n">
        <v>10000</v>
      </c>
      <c r="F2" s="10" t="n">
        <v>30</v>
      </c>
      <c r="G2" s="10" t="inlineStr">
        <is>
          <t>despachante com antecedência</t>
        </is>
      </c>
      <c r="H2" s="10" t="inlineStr">
        <is>
          <t>suprimentos</t>
        </is>
      </c>
      <c r="I2" s="10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30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Premissa</t>
        </is>
      </c>
      <c r="C1" s="1" t="inlineStr">
        <is>
          <t>Fonte</t>
        </is>
      </c>
      <c r="D1" s="1" t="inlineStr">
        <is>
          <t>Confiança</t>
        </is>
      </c>
    </row>
    <row r="2">
      <c r="A2" s="2" t="inlineStr">
        <is>
          <t>P01</t>
        </is>
      </c>
      <c r="B2" s="2" t="inlineStr">
        <is>
          <t>Piso nivelado</t>
        </is>
      </c>
      <c r="C2" s="2" t="inlineStr">
        <is>
          <t>FICTÍCIO – teste do motor</t>
        </is>
      </c>
      <c r="D2" s="2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2026-10-01T11:51:06Z</dcterms:created>
  <dcterms:modified xmlns:dcterms="http://purl.org/dc/terms/" xmlns:xsi="http://www.w3.org/2001/XMLSchema-instance" xsi:type="dcterms:W3CDTF">2026-10-01T11:51:06Z</dcterms:modified>
</cp:coreProperties>
</file>