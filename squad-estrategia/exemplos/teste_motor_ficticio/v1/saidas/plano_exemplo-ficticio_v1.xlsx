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RE_cenarios" sheetId="2" state="visible" r:id="rId2"/>
    <sheet xmlns:r="http://schemas.openxmlformats.org/officeDocument/2006/relationships" name="DRE_opcoes" sheetId="3" state="visible" r:id="rId3"/>
    <sheet xmlns:r="http://schemas.openxmlformats.org/officeDocument/2006/relationships" name="Caixa_base" sheetId="4" state="visible" r:id="rId4"/>
    <sheet xmlns:r="http://schemas.openxmlformats.org/officeDocument/2006/relationships" name="Portfolio" sheetId="5" state="visible" r:id="rId5"/>
    <sheet xmlns:r="http://schemas.openxmlformats.org/officeDocument/2006/relationships" name="Iniciativas" sheetId="6" state="visible" r:id="rId6"/>
    <sheet xmlns:r="http://schemas.openxmlformats.org/officeDocument/2006/relationships" name="OKRs" sheetId="7" state="visible" r:id="rId7"/>
    <sheet xmlns:r="http://schemas.openxmlformats.org/officeDocument/2006/relationships" name="Riscos" sheetId="8" state="visible" r:id="rId8"/>
    <sheet xmlns:r="http://schemas.openxmlformats.org/officeDocument/2006/relationships" name="Hipoteses_WMB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;(&quot;R$&quot; #,##0);-"/>
    <numFmt numFmtId="165" formatCode="0.0%;(0.0%)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11626"/>
      </patternFill>
    </fill>
    <fill>
      <patternFill patternType="solid">
        <fgColor rgb="00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2" fillId="0" borderId="0" pivotButton="0" quotePrefix="0" xfId="0"/>
    <xf numFmtId="164" fontId="4" fillId="3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Indicador</t>
        </is>
      </c>
      <c r="B1" s="1" t="inlineStr">
        <is>
          <t>conservador</t>
        </is>
      </c>
      <c r="C1" s="1" t="inlineStr">
        <is>
          <t>base</t>
        </is>
      </c>
      <c r="D1" s="1" t="inlineStr">
        <is>
          <t>otimista</t>
        </is>
      </c>
    </row>
    <row r="2">
      <c r="A2" s="2" t="inlineStr">
        <is>
          <t>Menor caixa no horizonte</t>
        </is>
      </c>
      <c r="B2" s="3" t="n">
        <v>364250</v>
      </c>
      <c r="C2" s="3" t="n">
        <v>402500</v>
      </c>
      <c r="D2" s="3" t="n">
        <v>440750</v>
      </c>
    </row>
    <row r="3">
      <c r="A3" s="2" t="inlineStr">
        <is>
          <t>Mês do menor caixa</t>
        </is>
      </c>
      <c r="B3" s="2" t="inlineStr">
        <is>
          <t>2027-03</t>
        </is>
      </c>
      <c r="C3" s="2" t="inlineStr">
        <is>
          <t>2027-03</t>
        </is>
      </c>
      <c r="D3" s="2" t="inlineStr">
        <is>
          <t>2027-03</t>
        </is>
      </c>
    </row>
    <row r="4">
      <c r="A4" s="2" t="inlineStr">
        <is>
          <t>Necessidade de captação (sem captação planejada)</t>
        </is>
      </c>
      <c r="B4" s="3" t="n">
        <v>967999.9999999998</v>
      </c>
      <c r="C4" s="3" t="n">
        <v>169999.9999999998</v>
      </c>
      <c r="D4" s="3" t="n">
        <v>0</v>
      </c>
    </row>
    <row r="5">
      <c r="A5" s="2" t="inlineStr">
        <is>
          <t>Mês em que o caixa zera sem captação</t>
        </is>
      </c>
      <c r="B5" s="2" t="inlineStr">
        <is>
          <t>2027-12</t>
        </is>
      </c>
      <c r="C5" s="2" t="inlineStr">
        <is>
          <t>2028-06</t>
        </is>
      </c>
      <c r="D5" s="2" t="n"/>
    </row>
    <row r="6">
      <c r="A6" s="2" t="inlineStr">
        <is>
          <t>Primeiro ano com EBITDA positivo</t>
        </is>
      </c>
      <c r="B6" s="2" t="n">
        <v>2030</v>
      </c>
      <c r="C6" s="2" t="n">
        <v>2029</v>
      </c>
      <c r="D6" s="2" t="n">
        <v>2028</v>
      </c>
    </row>
    <row r="7">
      <c r="A7" s="2" t="inlineStr">
        <is>
          <t>Queima média mensal no ano 1</t>
        </is>
      </c>
      <c r="B7" s="3" t="n">
        <v>54812.5</v>
      </c>
      <c r="C7" s="3" t="n">
        <v>43125</v>
      </c>
      <c r="D7" s="3" t="n">
        <v>31437.5</v>
      </c>
    </row>
    <row r="8">
      <c r="A8" s="2" t="inlineStr">
        <is>
          <t>Caixa final do horizonte</t>
        </is>
      </c>
      <c r="B8" s="3" t="n">
        <v>532000</v>
      </c>
      <c r="C8" s="3" t="n">
        <v>1900000</v>
      </c>
      <c r="D8" s="3" t="n">
        <v>3268000</v>
      </c>
    </row>
    <row r="10">
      <c r="A10" s="4" t="inlineStr">
        <is>
          <t>Alertas do motor</t>
        </is>
      </c>
    </row>
    <row r="11">
      <c r="A11" s="2" t="inlineStr">
        <is>
          <t>nenhum</t>
        </is>
      </c>
    </row>
    <row r="13">
      <c r="A13" s="2" t="inlineStr">
        <is>
          <t>Legenda: azul = valor calculado a partir dos nós; preto = fórmula. Edite os nós e rode o motor.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4" t="inlineStr">
        <is>
          <t>Cenário conservador</t>
        </is>
      </c>
      <c r="B1" s="4" t="n">
        <v>2027</v>
      </c>
      <c r="C1" s="4" t="n">
        <v>2028</v>
      </c>
      <c r="D1" s="4" t="n">
        <v>2029</v>
      </c>
      <c r="E1" s="4" t="n">
        <v>2030</v>
      </c>
    </row>
    <row r="2">
      <c r="A2" s="2" t="inlineStr">
        <is>
          <t>Receita bruta</t>
        </is>
      </c>
      <c r="B2" s="5" t="n">
        <v>1050000</v>
      </c>
      <c r="C2" s="5" t="n">
        <v>1820000</v>
      </c>
      <c r="D2" s="5" t="n">
        <v>2730000</v>
      </c>
      <c r="E2" s="5" t="n">
        <v>3640000</v>
      </c>
    </row>
    <row r="3">
      <c r="A3" s="2" t="inlineStr">
        <is>
          <t>(-) Impostos sobre receita</t>
        </is>
      </c>
      <c r="B3" s="5" t="n">
        <v>-105000</v>
      </c>
      <c r="C3" s="5" t="n">
        <v>-182000</v>
      </c>
      <c r="D3" s="5" t="n">
        <v>-273000</v>
      </c>
      <c r="E3" s="5" t="n">
        <v>-364000.0000000001</v>
      </c>
    </row>
    <row r="4">
      <c r="A4" s="6" t="inlineStr">
        <is>
          <t>Receita líquida</t>
        </is>
      </c>
      <c r="B4" s="7">
        <f>B2+B3</f>
        <v/>
      </c>
      <c r="C4" s="7">
        <f>C2+C3</f>
        <v/>
      </c>
      <c r="D4" s="7">
        <f>D2+D3</f>
        <v/>
      </c>
      <c r="E4" s="7">
        <f>E2+E3</f>
        <v/>
      </c>
    </row>
    <row r="5">
      <c r="A5" s="2" t="inlineStr">
        <is>
          <t>(-) CPV</t>
        </is>
      </c>
      <c r="B5" s="5" t="n">
        <v>-588000</v>
      </c>
      <c r="C5" s="5" t="n">
        <v>-1008000</v>
      </c>
      <c r="D5" s="5" t="n">
        <v>-1512000</v>
      </c>
      <c r="E5" s="5" t="n">
        <v>-2016000</v>
      </c>
    </row>
    <row r="6">
      <c r="A6" s="6" t="inlineStr">
        <is>
          <t>Lucro bruto</t>
        </is>
      </c>
      <c r="B6" s="7">
        <f>B4+B5</f>
        <v/>
      </c>
      <c r="C6" s="7">
        <f>C4+C5</f>
        <v/>
      </c>
      <c r="D6" s="7">
        <f>D4+D5</f>
        <v/>
      </c>
      <c r="E6" s="7">
        <f>E4+E5</f>
        <v/>
      </c>
    </row>
    <row r="7">
      <c r="A7" s="2" t="inlineStr">
        <is>
          <t>(-) Pessoal</t>
        </is>
      </c>
      <c r="B7" s="5" t="n">
        <v>-900000</v>
      </c>
      <c r="C7" s="5" t="n">
        <v>-960000</v>
      </c>
      <c r="D7" s="5" t="n">
        <v>-960000</v>
      </c>
      <c r="E7" s="5" t="n">
        <v>-960000</v>
      </c>
    </row>
    <row r="8">
      <c r="A8" s="2" t="inlineStr">
        <is>
          <t>(-) Outras despesas</t>
        </is>
      </c>
      <c r="B8" s="5" t="n">
        <v>-120000</v>
      </c>
      <c r="C8" s="5" t="n">
        <v>-180000</v>
      </c>
      <c r="D8" s="5" t="n">
        <v>-240000</v>
      </c>
      <c r="E8" s="5" t="n">
        <v>-300000</v>
      </c>
    </row>
    <row r="9">
      <c r="A9" s="6" t="inlineStr">
        <is>
          <t>EBITDA</t>
        </is>
      </c>
      <c r="B9" s="7">
        <f>B6+B7+B8</f>
        <v/>
      </c>
      <c r="C9" s="7">
        <f>C6+C7+C8</f>
        <v/>
      </c>
      <c r="D9" s="7">
        <f>D6+D7+D8</f>
        <v/>
      </c>
      <c r="E9" s="7">
        <f>E6+E7+E8</f>
        <v/>
      </c>
    </row>
    <row r="10">
      <c r="A10" s="2" t="inlineStr">
        <is>
          <t>Margem EBITDA</t>
        </is>
      </c>
      <c r="B10" s="8">
        <f>IF(B2=0,0,B9/B2)</f>
        <v/>
      </c>
      <c r="C10" s="8">
        <f>IF(C2=0,0,C9/C2)</f>
        <v/>
      </c>
      <c r="D10" s="8">
        <f>IF(D2=0,0,D9/D2)</f>
        <v/>
      </c>
      <c r="E10" s="8">
        <f>IF(E2=0,0,E9/E2)</f>
        <v/>
      </c>
    </row>
    <row r="11">
      <c r="A11" s="2" t="inlineStr">
        <is>
          <t>(+) Fomento e subvenções</t>
        </is>
      </c>
      <c r="B11" s="5" t="n">
        <v>200000</v>
      </c>
      <c r="C11" s="5" t="n">
        <v>0</v>
      </c>
      <c r="D11" s="5" t="n">
        <v>0</v>
      </c>
      <c r="E11" s="5" t="n">
        <v>0</v>
      </c>
    </row>
    <row r="12">
      <c r="A12" s="2" t="inlineStr">
        <is>
          <t>(-) Capex</t>
        </is>
      </c>
      <c r="B12" s="5" t="n">
        <v>-60000</v>
      </c>
      <c r="C12" s="5" t="n">
        <v>-60000</v>
      </c>
      <c r="D12" s="5" t="n">
        <v>-60000</v>
      </c>
      <c r="E12" s="5" t="n">
        <v>-60000</v>
      </c>
    </row>
    <row r="13">
      <c r="A13" s="2" t="inlineStr">
        <is>
          <t>(+) Captação</t>
        </is>
      </c>
      <c r="B13" s="5" t="n">
        <v>1500000</v>
      </c>
      <c r="C13" s="5" t="n">
        <v>0</v>
      </c>
      <c r="D13" s="5" t="n">
        <v>0</v>
      </c>
      <c r="E13" s="5" t="n">
        <v>0</v>
      </c>
    </row>
    <row r="14">
      <c r="A14" s="6" t="inlineStr">
        <is>
          <t>Caixa final do ano</t>
        </is>
      </c>
      <c r="B14" s="9" t="n">
        <v>1477000</v>
      </c>
      <c r="C14" s="9" t="n">
        <v>907000</v>
      </c>
      <c r="D14" s="9" t="n">
        <v>592000</v>
      </c>
      <c r="E14" s="9" t="n">
        <v>532000</v>
      </c>
    </row>
    <row r="16">
      <c r="A16" s="4" t="inlineStr">
        <is>
          <t>Cenário base</t>
        </is>
      </c>
      <c r="B16" s="4" t="n">
        <v>2027</v>
      </c>
      <c r="C16" s="4" t="n">
        <v>2028</v>
      </c>
      <c r="D16" s="4" t="n">
        <v>2029</v>
      </c>
      <c r="E16" s="4" t="n">
        <v>2030</v>
      </c>
    </row>
    <row r="17">
      <c r="A17" s="2" t="inlineStr">
        <is>
          <t>Receita bruta</t>
        </is>
      </c>
      <c r="B17" s="5" t="n">
        <v>1500000</v>
      </c>
      <c r="C17" s="5" t="n">
        <v>2600000</v>
      </c>
      <c r="D17" s="5" t="n">
        <v>3900000</v>
      </c>
      <c r="E17" s="5" t="n">
        <v>5200000</v>
      </c>
    </row>
    <row r="18">
      <c r="A18" s="2" t="inlineStr">
        <is>
          <t>(-) Impostos sobre receita</t>
        </is>
      </c>
      <c r="B18" s="5" t="n">
        <v>-150000</v>
      </c>
      <c r="C18" s="5" t="n">
        <v>-260000</v>
      </c>
      <c r="D18" s="5" t="n">
        <v>-390000</v>
      </c>
      <c r="E18" s="5" t="n">
        <v>-520000</v>
      </c>
    </row>
    <row r="19">
      <c r="A19" s="6" t="inlineStr">
        <is>
          <t>Receita líquida</t>
        </is>
      </c>
      <c r="B19" s="7">
        <f>B17+B18</f>
        <v/>
      </c>
      <c r="C19" s="7">
        <f>C17+C18</f>
        <v/>
      </c>
      <c r="D19" s="7">
        <f>D17+D18</f>
        <v/>
      </c>
      <c r="E19" s="7">
        <f>E17+E18</f>
        <v/>
      </c>
    </row>
    <row r="20">
      <c r="A20" s="2" t="inlineStr">
        <is>
          <t>(-) CPV</t>
        </is>
      </c>
      <c r="B20" s="5" t="n">
        <v>-840000</v>
      </c>
      <c r="C20" s="5" t="n">
        <v>-1440000</v>
      </c>
      <c r="D20" s="5" t="n">
        <v>-2160000</v>
      </c>
      <c r="E20" s="5" t="n">
        <v>-2880000</v>
      </c>
    </row>
    <row r="21">
      <c r="A21" s="6" t="inlineStr">
        <is>
          <t>Lucro bruto</t>
        </is>
      </c>
      <c r="B21" s="7">
        <f>B19+B20</f>
        <v/>
      </c>
      <c r="C21" s="7">
        <f>C19+C20</f>
        <v/>
      </c>
      <c r="D21" s="7">
        <f>D19+D20</f>
        <v/>
      </c>
      <c r="E21" s="7">
        <f>E19+E20</f>
        <v/>
      </c>
    </row>
    <row r="22">
      <c r="A22" s="2" t="inlineStr">
        <is>
          <t>(-) Pessoal</t>
        </is>
      </c>
      <c r="B22" s="5" t="n">
        <v>-900000</v>
      </c>
      <c r="C22" s="5" t="n">
        <v>-960000</v>
      </c>
      <c r="D22" s="5" t="n">
        <v>-960000</v>
      </c>
      <c r="E22" s="5" t="n">
        <v>-960000</v>
      </c>
    </row>
    <row r="23">
      <c r="A23" s="2" t="inlineStr">
        <is>
          <t>(-) Outras despesas</t>
        </is>
      </c>
      <c r="B23" s="5" t="n">
        <v>-120000</v>
      </c>
      <c r="C23" s="5" t="n">
        <v>-180000</v>
      </c>
      <c r="D23" s="5" t="n">
        <v>-240000</v>
      </c>
      <c r="E23" s="5" t="n">
        <v>-300000</v>
      </c>
    </row>
    <row r="24">
      <c r="A24" s="6" t="inlineStr">
        <is>
          <t>EBITDA</t>
        </is>
      </c>
      <c r="B24" s="7">
        <f>B21+B22+B23</f>
        <v/>
      </c>
      <c r="C24" s="7">
        <f>C21+C22+C23</f>
        <v/>
      </c>
      <c r="D24" s="7">
        <f>D21+D22+D23</f>
        <v/>
      </c>
      <c r="E24" s="7">
        <f>E21+E22+E23</f>
        <v/>
      </c>
    </row>
    <row r="25">
      <c r="A25" s="2" t="inlineStr">
        <is>
          <t>Margem EBITDA</t>
        </is>
      </c>
      <c r="B25" s="8">
        <f>IF(B17=0,0,B24/B17)</f>
        <v/>
      </c>
      <c r="C25" s="8">
        <f>IF(C17=0,0,C24/C17)</f>
        <v/>
      </c>
      <c r="D25" s="8">
        <f>IF(D17=0,0,D24/D17)</f>
        <v/>
      </c>
      <c r="E25" s="8">
        <f>IF(E17=0,0,E24/E17)</f>
        <v/>
      </c>
    </row>
    <row r="26">
      <c r="A26" s="2" t="inlineStr">
        <is>
          <t>(+) Fomento e subvenções</t>
        </is>
      </c>
      <c r="B26" s="5" t="n">
        <v>200000</v>
      </c>
      <c r="C26" s="5" t="n">
        <v>0</v>
      </c>
      <c r="D26" s="5" t="n">
        <v>0</v>
      </c>
      <c r="E26" s="5" t="n">
        <v>0</v>
      </c>
    </row>
    <row r="27">
      <c r="A27" s="2" t="inlineStr">
        <is>
          <t>(-) Capex</t>
        </is>
      </c>
      <c r="B27" s="5" t="n">
        <v>-60000</v>
      </c>
      <c r="C27" s="5" t="n">
        <v>-60000</v>
      </c>
      <c r="D27" s="5" t="n">
        <v>-60000</v>
      </c>
      <c r="E27" s="5" t="n">
        <v>-60000</v>
      </c>
    </row>
    <row r="28">
      <c r="A28" s="2" t="inlineStr">
        <is>
          <t>(+) Captação</t>
        </is>
      </c>
      <c r="B28" s="5" t="n">
        <v>1500000</v>
      </c>
      <c r="C28" s="5" t="n">
        <v>0</v>
      </c>
      <c r="D28" s="5" t="n">
        <v>0</v>
      </c>
      <c r="E28" s="5" t="n">
        <v>0</v>
      </c>
    </row>
    <row r="29">
      <c r="A29" s="6" t="inlineStr">
        <is>
          <t>Caixa final do ano</t>
        </is>
      </c>
      <c r="B29" s="9" t="n">
        <v>1630000</v>
      </c>
      <c r="C29" s="9" t="n">
        <v>1330000</v>
      </c>
      <c r="D29" s="9" t="n">
        <v>1420000</v>
      </c>
      <c r="E29" s="9" t="n">
        <v>1900000</v>
      </c>
    </row>
    <row r="31">
      <c r="A31" s="4" t="inlineStr">
        <is>
          <t>Cenário otimista</t>
        </is>
      </c>
      <c r="B31" s="4" t="n">
        <v>2027</v>
      </c>
      <c r="C31" s="4" t="n">
        <v>2028</v>
      </c>
      <c r="D31" s="4" t="n">
        <v>2029</v>
      </c>
      <c r="E31" s="4" t="n">
        <v>2030</v>
      </c>
    </row>
    <row r="32">
      <c r="A32" s="2" t="inlineStr">
        <is>
          <t>Receita bruta</t>
        </is>
      </c>
      <c r="B32" s="5" t="n">
        <v>1950000</v>
      </c>
      <c r="C32" s="5" t="n">
        <v>3380000</v>
      </c>
      <c r="D32" s="5" t="n">
        <v>5070000</v>
      </c>
      <c r="E32" s="5" t="n">
        <v>6759999.999999999</v>
      </c>
    </row>
    <row r="33">
      <c r="A33" s="2" t="inlineStr">
        <is>
          <t>(-) Impostos sobre receita</t>
        </is>
      </c>
      <c r="B33" s="5" t="n">
        <v>-195000</v>
      </c>
      <c r="C33" s="5" t="n">
        <v>-338000</v>
      </c>
      <c r="D33" s="5" t="n">
        <v>-507000</v>
      </c>
      <c r="E33" s="5" t="n">
        <v>-676000</v>
      </c>
    </row>
    <row r="34">
      <c r="A34" s="6" t="inlineStr">
        <is>
          <t>Receita líquida</t>
        </is>
      </c>
      <c r="B34" s="7">
        <f>B32+B33</f>
        <v/>
      </c>
      <c r="C34" s="7">
        <f>C32+C33</f>
        <v/>
      </c>
      <c r="D34" s="7">
        <f>D32+D33</f>
        <v/>
      </c>
      <c r="E34" s="7">
        <f>E32+E33</f>
        <v/>
      </c>
    </row>
    <row r="35">
      <c r="A35" s="2" t="inlineStr">
        <is>
          <t>(-) CPV</t>
        </is>
      </c>
      <c r="B35" s="5" t="n">
        <v>-1092000</v>
      </c>
      <c r="C35" s="5" t="n">
        <v>-1872000</v>
      </c>
      <c r="D35" s="5" t="n">
        <v>-2808000</v>
      </c>
      <c r="E35" s="5" t="n">
        <v>-3744000</v>
      </c>
    </row>
    <row r="36">
      <c r="A36" s="6" t="inlineStr">
        <is>
          <t>Lucro bruto</t>
        </is>
      </c>
      <c r="B36" s="7">
        <f>B34+B35</f>
        <v/>
      </c>
      <c r="C36" s="7">
        <f>C34+C35</f>
        <v/>
      </c>
      <c r="D36" s="7">
        <f>D34+D35</f>
        <v/>
      </c>
      <c r="E36" s="7">
        <f>E34+E35</f>
        <v/>
      </c>
    </row>
    <row r="37">
      <c r="A37" s="2" t="inlineStr">
        <is>
          <t>(-) Pessoal</t>
        </is>
      </c>
      <c r="B37" s="5" t="n">
        <v>-900000</v>
      </c>
      <c r="C37" s="5" t="n">
        <v>-960000</v>
      </c>
      <c r="D37" s="5" t="n">
        <v>-960000</v>
      </c>
      <c r="E37" s="5" t="n">
        <v>-960000</v>
      </c>
    </row>
    <row r="38">
      <c r="A38" s="2" t="inlineStr">
        <is>
          <t>(-) Outras despesas</t>
        </is>
      </c>
      <c r="B38" s="5" t="n">
        <v>-120000</v>
      </c>
      <c r="C38" s="5" t="n">
        <v>-180000</v>
      </c>
      <c r="D38" s="5" t="n">
        <v>-240000</v>
      </c>
      <c r="E38" s="5" t="n">
        <v>-300000</v>
      </c>
    </row>
    <row r="39">
      <c r="A39" s="6" t="inlineStr">
        <is>
          <t>EBITDA</t>
        </is>
      </c>
      <c r="B39" s="7">
        <f>B36+B37+B38</f>
        <v/>
      </c>
      <c r="C39" s="7">
        <f>C36+C37+C38</f>
        <v/>
      </c>
      <c r="D39" s="7">
        <f>D36+D37+D38</f>
        <v/>
      </c>
      <c r="E39" s="7">
        <f>E36+E37+E38</f>
        <v/>
      </c>
    </row>
    <row r="40">
      <c r="A40" s="2" t="inlineStr">
        <is>
          <t>Margem EBITDA</t>
        </is>
      </c>
      <c r="B40" s="8">
        <f>IF(B32=0,0,B39/B32)</f>
        <v/>
      </c>
      <c r="C40" s="8">
        <f>IF(C32=0,0,C39/C32)</f>
        <v/>
      </c>
      <c r="D40" s="8">
        <f>IF(D32=0,0,D39/D32)</f>
        <v/>
      </c>
      <c r="E40" s="8">
        <f>IF(E32=0,0,E39/E32)</f>
        <v/>
      </c>
    </row>
    <row r="41">
      <c r="A41" s="2" t="inlineStr">
        <is>
          <t>(+) Fomento e subvenções</t>
        </is>
      </c>
      <c r="B41" s="5" t="n">
        <v>200000</v>
      </c>
      <c r="C41" s="5" t="n">
        <v>0</v>
      </c>
      <c r="D41" s="5" t="n">
        <v>0</v>
      </c>
      <c r="E41" s="5" t="n">
        <v>0</v>
      </c>
    </row>
    <row r="42">
      <c r="A42" s="2" t="inlineStr">
        <is>
          <t>(-) Capex</t>
        </is>
      </c>
      <c r="B42" s="5" t="n">
        <v>-60000</v>
      </c>
      <c r="C42" s="5" t="n">
        <v>-60000</v>
      </c>
      <c r="D42" s="5" t="n">
        <v>-60000</v>
      </c>
      <c r="E42" s="5" t="n">
        <v>-60000</v>
      </c>
    </row>
    <row r="43">
      <c r="A43" s="2" t="inlineStr">
        <is>
          <t>(+) Captação</t>
        </is>
      </c>
      <c r="B43" s="5" t="n">
        <v>1500000</v>
      </c>
      <c r="C43" s="5" t="n">
        <v>0</v>
      </c>
      <c r="D43" s="5" t="n">
        <v>0</v>
      </c>
      <c r="E43" s="5" t="n">
        <v>0</v>
      </c>
    </row>
    <row r="44">
      <c r="A44" s="6" t="inlineStr">
        <is>
          <t>Caixa final do ano</t>
        </is>
      </c>
      <c r="B44" s="9" t="n">
        <v>1783000</v>
      </c>
      <c r="C44" s="9" t="n">
        <v>1753000</v>
      </c>
      <c r="D44" s="9" t="n">
        <v>2248000</v>
      </c>
      <c r="E44" s="9" t="n">
        <v>3268000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4" t="inlineStr">
        <is>
          <t>Opção O1</t>
        </is>
      </c>
      <c r="B1" s="4" t="n">
        <v>2027</v>
      </c>
      <c r="C1" s="4" t="n">
        <v>2028</v>
      </c>
      <c r="D1" s="4" t="n">
        <v>2029</v>
      </c>
      <c r="E1" s="4" t="n">
        <v>2030</v>
      </c>
    </row>
    <row r="2">
      <c r="A2" s="2" t="inlineStr">
        <is>
          <t>Receita bruta</t>
        </is>
      </c>
      <c r="B2" s="5" t="n">
        <v>1500000</v>
      </c>
      <c r="C2" s="5" t="n">
        <v>2600000</v>
      </c>
      <c r="D2" s="5" t="n">
        <v>3900000</v>
      </c>
      <c r="E2" s="5" t="n">
        <v>5200000</v>
      </c>
    </row>
    <row r="3">
      <c r="A3" s="2" t="inlineStr">
        <is>
          <t>(-) Impostos sobre receita</t>
        </is>
      </c>
      <c r="B3" s="5" t="n">
        <v>-150000</v>
      </c>
      <c r="C3" s="5" t="n">
        <v>-260000</v>
      </c>
      <c r="D3" s="5" t="n">
        <v>-390000</v>
      </c>
      <c r="E3" s="5" t="n">
        <v>-520000</v>
      </c>
    </row>
    <row r="4">
      <c r="A4" s="6" t="inlineStr">
        <is>
          <t>Receita líquida</t>
        </is>
      </c>
      <c r="B4" s="7">
        <f>B2+B3</f>
        <v/>
      </c>
      <c r="C4" s="7">
        <f>C2+C3</f>
        <v/>
      </c>
      <c r="D4" s="7">
        <f>D2+D3</f>
        <v/>
      </c>
      <c r="E4" s="7">
        <f>E2+E3</f>
        <v/>
      </c>
    </row>
    <row r="5">
      <c r="A5" s="2" t="inlineStr">
        <is>
          <t>(-) CPV</t>
        </is>
      </c>
      <c r="B5" s="5" t="n">
        <v>-840000</v>
      </c>
      <c r="C5" s="5" t="n">
        <v>-1440000</v>
      </c>
      <c r="D5" s="5" t="n">
        <v>-2160000</v>
      </c>
      <c r="E5" s="5" t="n">
        <v>-2880000</v>
      </c>
    </row>
    <row r="6">
      <c r="A6" s="6" t="inlineStr">
        <is>
          <t>Lucro bruto</t>
        </is>
      </c>
      <c r="B6" s="7">
        <f>B4+B5</f>
        <v/>
      </c>
      <c r="C6" s="7">
        <f>C4+C5</f>
        <v/>
      </c>
      <c r="D6" s="7">
        <f>D4+D5</f>
        <v/>
      </c>
      <c r="E6" s="7">
        <f>E4+E5</f>
        <v/>
      </c>
    </row>
    <row r="7">
      <c r="A7" s="2" t="inlineStr">
        <is>
          <t>(-) Pessoal</t>
        </is>
      </c>
      <c r="B7" s="5" t="n">
        <v>-900000</v>
      </c>
      <c r="C7" s="5" t="n">
        <v>-1100000</v>
      </c>
      <c r="D7" s="5" t="n">
        <v>-1300000</v>
      </c>
      <c r="E7" s="5" t="n">
        <v>-1500000</v>
      </c>
    </row>
    <row r="8">
      <c r="A8" s="2" t="inlineStr">
        <is>
          <t>(-) Outras despesas</t>
        </is>
      </c>
      <c r="B8" s="5" t="n">
        <v>-120000</v>
      </c>
      <c r="C8" s="5" t="n">
        <v>-180000</v>
      </c>
      <c r="D8" s="5" t="n">
        <v>-240000</v>
      </c>
      <c r="E8" s="5" t="n">
        <v>-300000</v>
      </c>
    </row>
    <row r="9">
      <c r="A9" s="6" t="inlineStr">
        <is>
          <t>EBITDA</t>
        </is>
      </c>
      <c r="B9" s="7">
        <f>B6+B7+B8</f>
        <v/>
      </c>
      <c r="C9" s="7">
        <f>C6+C7+C8</f>
        <v/>
      </c>
      <c r="D9" s="7">
        <f>D6+D7+D8</f>
        <v/>
      </c>
      <c r="E9" s="7">
        <f>E6+E7+E8</f>
        <v/>
      </c>
    </row>
    <row r="10">
      <c r="A10" s="2" t="inlineStr">
        <is>
          <t>Margem EBITDA</t>
        </is>
      </c>
      <c r="B10" s="8">
        <f>IF(B2=0,0,B9/B2)</f>
        <v/>
      </c>
      <c r="C10" s="8">
        <f>IF(C2=0,0,C9/C2)</f>
        <v/>
      </c>
      <c r="D10" s="8">
        <f>IF(D2=0,0,D9/D2)</f>
        <v/>
      </c>
      <c r="E10" s="8">
        <f>IF(E2=0,0,E9/E2)</f>
        <v/>
      </c>
    </row>
    <row r="11">
      <c r="A11" s="2" t="inlineStr">
        <is>
          <t>(+) Fomento e subvenções</t>
        </is>
      </c>
      <c r="B11" s="5" t="n">
        <v>200000</v>
      </c>
      <c r="C11" s="5" t="n">
        <v>0</v>
      </c>
      <c r="D11" s="5" t="n">
        <v>0</v>
      </c>
      <c r="E11" s="5" t="n">
        <v>0</v>
      </c>
    </row>
    <row r="12">
      <c r="A12" s="2" t="inlineStr">
        <is>
          <t>(-) Capex</t>
        </is>
      </c>
      <c r="B12" s="5" t="n">
        <v>-60000</v>
      </c>
      <c r="C12" s="5" t="n">
        <v>-60000</v>
      </c>
      <c r="D12" s="5" t="n">
        <v>-60000</v>
      </c>
      <c r="E12" s="5" t="n">
        <v>-60000</v>
      </c>
    </row>
    <row r="13">
      <c r="A13" s="2" t="inlineStr">
        <is>
          <t>(+) Captação</t>
        </is>
      </c>
      <c r="B13" s="5" t="n">
        <v>1500000</v>
      </c>
      <c r="C13" s="5" t="n">
        <v>0</v>
      </c>
      <c r="D13" s="5" t="n">
        <v>0</v>
      </c>
      <c r="E13" s="5" t="n">
        <v>0</v>
      </c>
    </row>
    <row r="14">
      <c r="A14" s="6" t="inlineStr">
        <is>
          <t>Caixa final do ano</t>
        </is>
      </c>
      <c r="B14" s="9" t="n">
        <v>1630000</v>
      </c>
      <c r="C14" s="9" t="n">
        <v>1189999.999999999</v>
      </c>
      <c r="D14" s="9" t="n">
        <v>939999.9999999993</v>
      </c>
      <c r="E14" s="9" t="n">
        <v>879999.9999999993</v>
      </c>
    </row>
    <row r="16">
      <c r="A16" s="4" t="inlineStr">
        <is>
          <t>Opção O2</t>
        </is>
      </c>
      <c r="B16" s="4" t="n">
        <v>2027</v>
      </c>
      <c r="C16" s="4" t="n">
        <v>2028</v>
      </c>
      <c r="D16" s="4" t="n">
        <v>2029</v>
      </c>
      <c r="E16" s="4" t="n">
        <v>2030</v>
      </c>
    </row>
    <row r="17">
      <c r="A17" s="2" t="inlineStr">
        <is>
          <t>Receita bruta</t>
        </is>
      </c>
      <c r="B17" s="5" t="n">
        <v>1200000</v>
      </c>
      <c r="C17" s="5" t="n">
        <v>2080000</v>
      </c>
      <c r="D17" s="5" t="n">
        <v>3120000</v>
      </c>
      <c r="E17" s="5" t="n">
        <v>4160000</v>
      </c>
    </row>
    <row r="18">
      <c r="A18" s="2" t="inlineStr">
        <is>
          <t>(-) Impostos sobre receita</t>
        </is>
      </c>
      <c r="B18" s="5" t="n">
        <v>-120000</v>
      </c>
      <c r="C18" s="5" t="n">
        <v>-208000</v>
      </c>
      <c r="D18" s="5" t="n">
        <v>-312000</v>
      </c>
      <c r="E18" s="5" t="n">
        <v>-416000.0000000001</v>
      </c>
    </row>
    <row r="19">
      <c r="A19" s="6" t="inlineStr">
        <is>
          <t>Receita líquida</t>
        </is>
      </c>
      <c r="B19" s="7">
        <f>B17+B18</f>
        <v/>
      </c>
      <c r="C19" s="7">
        <f>C17+C18</f>
        <v/>
      </c>
      <c r="D19" s="7">
        <f>D17+D18</f>
        <v/>
      </c>
      <c r="E19" s="7">
        <f>E17+E18</f>
        <v/>
      </c>
    </row>
    <row r="20">
      <c r="A20" s="2" t="inlineStr">
        <is>
          <t>(-) CPV</t>
        </is>
      </c>
      <c r="B20" s="5" t="n">
        <v>-672000</v>
      </c>
      <c r="C20" s="5" t="n">
        <v>-1152000</v>
      </c>
      <c r="D20" s="5" t="n">
        <v>-1728000</v>
      </c>
      <c r="E20" s="5" t="n">
        <v>-2304000</v>
      </c>
    </row>
    <row r="21">
      <c r="A21" s="6" t="inlineStr">
        <is>
          <t>Lucro bruto</t>
        </is>
      </c>
      <c r="B21" s="7">
        <f>B19+B20</f>
        <v/>
      </c>
      <c r="C21" s="7">
        <f>C19+C20</f>
        <v/>
      </c>
      <c r="D21" s="7">
        <f>D19+D20</f>
        <v/>
      </c>
      <c r="E21" s="7">
        <f>E19+E20</f>
        <v/>
      </c>
    </row>
    <row r="22">
      <c r="A22" s="2" t="inlineStr">
        <is>
          <t>(-) Pessoal</t>
        </is>
      </c>
      <c r="B22" s="5" t="n">
        <v>-900000</v>
      </c>
      <c r="C22" s="5" t="n">
        <v>-1100000</v>
      </c>
      <c r="D22" s="5" t="n">
        <v>-1300000</v>
      </c>
      <c r="E22" s="5" t="n">
        <v>-1500000</v>
      </c>
    </row>
    <row r="23">
      <c r="A23" s="2" t="inlineStr">
        <is>
          <t>(-) Outras despesas</t>
        </is>
      </c>
      <c r="B23" s="5" t="n">
        <v>-120000</v>
      </c>
      <c r="C23" s="5" t="n">
        <v>-180000</v>
      </c>
      <c r="D23" s="5" t="n">
        <v>-240000</v>
      </c>
      <c r="E23" s="5" t="n">
        <v>-300000</v>
      </c>
    </row>
    <row r="24">
      <c r="A24" s="6" t="inlineStr">
        <is>
          <t>EBITDA</t>
        </is>
      </c>
      <c r="B24" s="7">
        <f>B21+B22+B23</f>
        <v/>
      </c>
      <c r="C24" s="7">
        <f>C21+C22+C23</f>
        <v/>
      </c>
      <c r="D24" s="7">
        <f>D21+D22+D23</f>
        <v/>
      </c>
      <c r="E24" s="7">
        <f>E21+E22+E23</f>
        <v/>
      </c>
    </row>
    <row r="25">
      <c r="A25" s="2" t="inlineStr">
        <is>
          <t>Margem EBITDA</t>
        </is>
      </c>
      <c r="B25" s="8">
        <f>IF(B17=0,0,B24/B17)</f>
        <v/>
      </c>
      <c r="C25" s="8">
        <f>IF(C17=0,0,C24/C17)</f>
        <v/>
      </c>
      <c r="D25" s="8">
        <f>IF(D17=0,0,D24/D17)</f>
        <v/>
      </c>
      <c r="E25" s="8">
        <f>IF(E17=0,0,E24/E17)</f>
        <v/>
      </c>
    </row>
    <row r="26">
      <c r="A26" s="2" t="inlineStr">
        <is>
          <t>(+) Fomento e subvenções</t>
        </is>
      </c>
      <c r="B26" s="5" t="n">
        <v>200000</v>
      </c>
      <c r="C26" s="5" t="n">
        <v>0</v>
      </c>
      <c r="D26" s="5" t="n">
        <v>0</v>
      </c>
      <c r="E26" s="5" t="n">
        <v>0</v>
      </c>
    </row>
    <row r="27">
      <c r="A27" s="2" t="inlineStr">
        <is>
          <t>(-) Capex</t>
        </is>
      </c>
      <c r="B27" s="5" t="n">
        <v>-60000</v>
      </c>
      <c r="C27" s="5" t="n">
        <v>-60000</v>
      </c>
      <c r="D27" s="5" t="n">
        <v>-60000</v>
      </c>
      <c r="E27" s="5" t="n">
        <v>-60000</v>
      </c>
    </row>
    <row r="28">
      <c r="A28" s="2" t="inlineStr">
        <is>
          <t>(+) Captação</t>
        </is>
      </c>
      <c r="B28" s="5" t="n">
        <v>0</v>
      </c>
      <c r="C28" s="5" t="n">
        <v>0</v>
      </c>
      <c r="D28" s="5" t="n">
        <v>0</v>
      </c>
      <c r="E28" s="5" t="n">
        <v>0</v>
      </c>
    </row>
    <row r="29">
      <c r="A29" s="6" t="inlineStr">
        <is>
          <t>Caixa final do ano</t>
        </is>
      </c>
      <c r="B29" s="9" t="n">
        <v>28000</v>
      </c>
      <c r="C29" s="9" t="n">
        <v>-592000.0000000001</v>
      </c>
      <c r="D29" s="9" t="n">
        <v>-1112000</v>
      </c>
      <c r="E29" s="9" t="n">
        <v>-1532000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Mês</t>
        </is>
      </c>
      <c r="B1" s="1" t="inlineStr">
        <is>
          <t>Receita</t>
        </is>
      </c>
      <c r="C1" s="1" t="inlineStr">
        <is>
          <t>Impostos</t>
        </is>
      </c>
      <c r="D1" s="1" t="inlineStr">
        <is>
          <t>CPV</t>
        </is>
      </c>
      <c r="E1" s="1" t="inlineStr">
        <is>
          <t>Pessoal</t>
        </is>
      </c>
      <c r="F1" s="1" t="inlineStr">
        <is>
          <t>Outras despesas</t>
        </is>
      </c>
      <c r="G1" s="1" t="inlineStr">
        <is>
          <t>EBITDA</t>
        </is>
      </c>
      <c r="H1" s="1" t="inlineStr">
        <is>
          <t>Fomento</t>
        </is>
      </c>
      <c r="I1" s="1" t="inlineStr">
        <is>
          <t>Capex</t>
        </is>
      </c>
      <c r="J1" s="1" t="inlineStr">
        <is>
          <t>Captação</t>
        </is>
      </c>
      <c r="K1" s="1" t="inlineStr">
        <is>
          <t>Caixa</t>
        </is>
      </c>
    </row>
    <row r="2">
      <c r="A2" s="2" t="inlineStr">
        <is>
          <t>2027-01</t>
        </is>
      </c>
      <c r="B2" s="5" t="n">
        <v>125000</v>
      </c>
      <c r="C2" s="5" t="n">
        <v>12500</v>
      </c>
      <c r="D2" s="5" t="n">
        <v>70000</v>
      </c>
      <c r="E2" s="5" t="n">
        <v>60000</v>
      </c>
      <c r="F2" s="5" t="n">
        <v>10000</v>
      </c>
      <c r="G2" s="5" t="n">
        <v>-27500</v>
      </c>
      <c r="H2" s="5" t="n">
        <v>0</v>
      </c>
      <c r="I2" s="5" t="n">
        <v>5000</v>
      </c>
      <c r="J2" s="5" t="n">
        <v>0</v>
      </c>
      <c r="K2" s="5" t="n">
        <v>467500</v>
      </c>
    </row>
    <row r="3">
      <c r="A3" s="2" t="inlineStr">
        <is>
          <t>2027-02</t>
        </is>
      </c>
      <c r="B3" s="5" t="n">
        <v>125000</v>
      </c>
      <c r="C3" s="5" t="n">
        <v>12500</v>
      </c>
      <c r="D3" s="5" t="n">
        <v>70000</v>
      </c>
      <c r="E3" s="5" t="n">
        <v>60000</v>
      </c>
      <c r="F3" s="5" t="n">
        <v>10000</v>
      </c>
      <c r="G3" s="5" t="n">
        <v>-27500</v>
      </c>
      <c r="H3" s="5" t="n">
        <v>0</v>
      </c>
      <c r="I3" s="5" t="n">
        <v>5000</v>
      </c>
      <c r="J3" s="5" t="n">
        <v>0</v>
      </c>
      <c r="K3" s="5" t="n">
        <v>435000</v>
      </c>
    </row>
    <row r="4">
      <c r="A4" s="2" t="inlineStr">
        <is>
          <t>2027-03</t>
        </is>
      </c>
      <c r="B4" s="5" t="n">
        <v>125000</v>
      </c>
      <c r="C4" s="5" t="n">
        <v>12500</v>
      </c>
      <c r="D4" s="5" t="n">
        <v>70000</v>
      </c>
      <c r="E4" s="5" t="n">
        <v>60000</v>
      </c>
      <c r="F4" s="5" t="n">
        <v>10000</v>
      </c>
      <c r="G4" s="5" t="n">
        <v>-27500</v>
      </c>
      <c r="H4" s="5" t="n">
        <v>0</v>
      </c>
      <c r="I4" s="5" t="n">
        <v>5000</v>
      </c>
      <c r="J4" s="5" t="n">
        <v>0</v>
      </c>
      <c r="K4" s="5" t="n">
        <v>402500</v>
      </c>
    </row>
    <row r="5">
      <c r="A5" s="2" t="inlineStr">
        <is>
          <t>2027-04</t>
        </is>
      </c>
      <c r="B5" s="5" t="n">
        <v>125000</v>
      </c>
      <c r="C5" s="5" t="n">
        <v>12500</v>
      </c>
      <c r="D5" s="5" t="n">
        <v>70000</v>
      </c>
      <c r="E5" s="5" t="n">
        <v>80000</v>
      </c>
      <c r="F5" s="5" t="n">
        <v>10000</v>
      </c>
      <c r="G5" s="5" t="n">
        <v>-47500</v>
      </c>
      <c r="H5" s="5" t="n">
        <v>0</v>
      </c>
      <c r="I5" s="5" t="n">
        <v>5000</v>
      </c>
      <c r="J5" s="5" t="n">
        <v>1500000</v>
      </c>
      <c r="K5" s="5" t="n">
        <v>1850000</v>
      </c>
    </row>
    <row r="6">
      <c r="A6" s="2" t="inlineStr">
        <is>
          <t>2027-05</t>
        </is>
      </c>
      <c r="B6" s="5" t="n">
        <v>125000</v>
      </c>
      <c r="C6" s="5" t="n">
        <v>12500</v>
      </c>
      <c r="D6" s="5" t="n">
        <v>70000</v>
      </c>
      <c r="E6" s="5" t="n">
        <v>80000</v>
      </c>
      <c r="F6" s="5" t="n">
        <v>10000</v>
      </c>
      <c r="G6" s="5" t="n">
        <v>-47500</v>
      </c>
      <c r="H6" s="5" t="n">
        <v>0</v>
      </c>
      <c r="I6" s="5" t="n">
        <v>5000</v>
      </c>
      <c r="J6" s="5" t="n">
        <v>0</v>
      </c>
      <c r="K6" s="5" t="n">
        <v>1797500</v>
      </c>
    </row>
    <row r="7">
      <c r="A7" s="2" t="inlineStr">
        <is>
          <t>2027-06</t>
        </is>
      </c>
      <c r="B7" s="5" t="n">
        <v>125000</v>
      </c>
      <c r="C7" s="5" t="n">
        <v>12500</v>
      </c>
      <c r="D7" s="5" t="n">
        <v>70000</v>
      </c>
      <c r="E7" s="5" t="n">
        <v>80000</v>
      </c>
      <c r="F7" s="5" t="n">
        <v>10000</v>
      </c>
      <c r="G7" s="5" t="n">
        <v>-47500</v>
      </c>
      <c r="H7" s="5" t="n">
        <v>200000</v>
      </c>
      <c r="I7" s="5" t="n">
        <v>5000</v>
      </c>
      <c r="J7" s="5" t="n">
        <v>0</v>
      </c>
      <c r="K7" s="5" t="n">
        <v>1945000</v>
      </c>
    </row>
    <row r="8">
      <c r="A8" s="2" t="inlineStr">
        <is>
          <t>2027-07</t>
        </is>
      </c>
      <c r="B8" s="5" t="n">
        <v>125000</v>
      </c>
      <c r="C8" s="5" t="n">
        <v>12500</v>
      </c>
      <c r="D8" s="5" t="n">
        <v>70000</v>
      </c>
      <c r="E8" s="5" t="n">
        <v>80000</v>
      </c>
      <c r="F8" s="5" t="n">
        <v>10000</v>
      </c>
      <c r="G8" s="5" t="n">
        <v>-47500</v>
      </c>
      <c r="H8" s="5" t="n">
        <v>0</v>
      </c>
      <c r="I8" s="5" t="n">
        <v>5000</v>
      </c>
      <c r="J8" s="5" t="n">
        <v>0</v>
      </c>
      <c r="K8" s="5" t="n">
        <v>1892500</v>
      </c>
    </row>
    <row r="9">
      <c r="A9" s="2" t="inlineStr">
        <is>
          <t>2027-08</t>
        </is>
      </c>
      <c r="B9" s="5" t="n">
        <v>125000</v>
      </c>
      <c r="C9" s="5" t="n">
        <v>12500</v>
      </c>
      <c r="D9" s="5" t="n">
        <v>70000</v>
      </c>
      <c r="E9" s="5" t="n">
        <v>80000</v>
      </c>
      <c r="F9" s="5" t="n">
        <v>10000</v>
      </c>
      <c r="G9" s="5" t="n">
        <v>-47500</v>
      </c>
      <c r="H9" s="5" t="n">
        <v>0</v>
      </c>
      <c r="I9" s="5" t="n">
        <v>5000</v>
      </c>
      <c r="J9" s="5" t="n">
        <v>0</v>
      </c>
      <c r="K9" s="5" t="n">
        <v>1840000</v>
      </c>
    </row>
    <row r="10">
      <c r="A10" s="2" t="inlineStr">
        <is>
          <t>2027-09</t>
        </is>
      </c>
      <c r="B10" s="5" t="n">
        <v>125000</v>
      </c>
      <c r="C10" s="5" t="n">
        <v>12500</v>
      </c>
      <c r="D10" s="5" t="n">
        <v>70000</v>
      </c>
      <c r="E10" s="5" t="n">
        <v>80000</v>
      </c>
      <c r="F10" s="5" t="n">
        <v>10000</v>
      </c>
      <c r="G10" s="5" t="n">
        <v>-47500</v>
      </c>
      <c r="H10" s="5" t="n">
        <v>0</v>
      </c>
      <c r="I10" s="5" t="n">
        <v>5000</v>
      </c>
      <c r="J10" s="5" t="n">
        <v>0</v>
      </c>
      <c r="K10" s="5" t="n">
        <v>1787500</v>
      </c>
    </row>
    <row r="11">
      <c r="A11" s="2" t="inlineStr">
        <is>
          <t>2027-10</t>
        </is>
      </c>
      <c r="B11" s="5" t="n">
        <v>125000</v>
      </c>
      <c r="C11" s="5" t="n">
        <v>12500</v>
      </c>
      <c r="D11" s="5" t="n">
        <v>70000</v>
      </c>
      <c r="E11" s="5" t="n">
        <v>80000</v>
      </c>
      <c r="F11" s="5" t="n">
        <v>10000</v>
      </c>
      <c r="G11" s="5" t="n">
        <v>-47500</v>
      </c>
      <c r="H11" s="5" t="n">
        <v>0</v>
      </c>
      <c r="I11" s="5" t="n">
        <v>5000</v>
      </c>
      <c r="J11" s="5" t="n">
        <v>0</v>
      </c>
      <c r="K11" s="5" t="n">
        <v>1735000</v>
      </c>
    </row>
    <row r="12">
      <c r="A12" s="2" t="inlineStr">
        <is>
          <t>2027-11</t>
        </is>
      </c>
      <c r="B12" s="5" t="n">
        <v>125000</v>
      </c>
      <c r="C12" s="5" t="n">
        <v>12500</v>
      </c>
      <c r="D12" s="5" t="n">
        <v>70000</v>
      </c>
      <c r="E12" s="5" t="n">
        <v>80000</v>
      </c>
      <c r="F12" s="5" t="n">
        <v>10000</v>
      </c>
      <c r="G12" s="5" t="n">
        <v>-47500</v>
      </c>
      <c r="H12" s="5" t="n">
        <v>0</v>
      </c>
      <c r="I12" s="5" t="n">
        <v>5000</v>
      </c>
      <c r="J12" s="5" t="n">
        <v>0</v>
      </c>
      <c r="K12" s="5" t="n">
        <v>1682500</v>
      </c>
    </row>
    <row r="13">
      <c r="A13" s="2" t="inlineStr">
        <is>
          <t>2027-12</t>
        </is>
      </c>
      <c r="B13" s="5" t="n">
        <v>125000</v>
      </c>
      <c r="C13" s="5" t="n">
        <v>12500</v>
      </c>
      <c r="D13" s="5" t="n">
        <v>70000</v>
      </c>
      <c r="E13" s="5" t="n">
        <v>80000</v>
      </c>
      <c r="F13" s="5" t="n">
        <v>10000</v>
      </c>
      <c r="G13" s="5" t="n">
        <v>-47500</v>
      </c>
      <c r="H13" s="5" t="n">
        <v>0</v>
      </c>
      <c r="I13" s="5" t="n">
        <v>5000</v>
      </c>
      <c r="J13" s="5" t="n">
        <v>0</v>
      </c>
      <c r="K13" s="5" t="n">
        <v>1630000</v>
      </c>
    </row>
    <row r="14">
      <c r="A14" s="2" t="inlineStr">
        <is>
          <t>2028-01</t>
        </is>
      </c>
      <c r="B14" s="5" t="n">
        <v>216666.6666666667</v>
      </c>
      <c r="C14" s="5" t="n">
        <v>21666.66666666667</v>
      </c>
      <c r="D14" s="5" t="n">
        <v>120000</v>
      </c>
      <c r="E14" s="5" t="n">
        <v>80000</v>
      </c>
      <c r="F14" s="5" t="n">
        <v>15000</v>
      </c>
      <c r="G14" s="5" t="n">
        <v>-19999.99999999999</v>
      </c>
      <c r="H14" s="5" t="n">
        <v>0</v>
      </c>
      <c r="I14" s="5" t="n">
        <v>5000</v>
      </c>
      <c r="J14" s="5" t="n">
        <v>0</v>
      </c>
      <c r="K14" s="5" t="n">
        <v>1605000</v>
      </c>
    </row>
    <row r="15">
      <c r="A15" s="2" t="inlineStr">
        <is>
          <t>2028-02</t>
        </is>
      </c>
      <c r="B15" s="5" t="n">
        <v>216666.6666666667</v>
      </c>
      <c r="C15" s="5" t="n">
        <v>21666.66666666667</v>
      </c>
      <c r="D15" s="5" t="n">
        <v>120000</v>
      </c>
      <c r="E15" s="5" t="n">
        <v>80000</v>
      </c>
      <c r="F15" s="5" t="n">
        <v>15000</v>
      </c>
      <c r="G15" s="5" t="n">
        <v>-19999.99999999999</v>
      </c>
      <c r="H15" s="5" t="n">
        <v>0</v>
      </c>
      <c r="I15" s="5" t="n">
        <v>5000</v>
      </c>
      <c r="J15" s="5" t="n">
        <v>0</v>
      </c>
      <c r="K15" s="5" t="n">
        <v>1580000</v>
      </c>
    </row>
    <row r="16">
      <c r="A16" s="2" t="inlineStr">
        <is>
          <t>2028-03</t>
        </is>
      </c>
      <c r="B16" s="5" t="n">
        <v>216666.6666666667</v>
      </c>
      <c r="C16" s="5" t="n">
        <v>21666.66666666667</v>
      </c>
      <c r="D16" s="5" t="n">
        <v>120000</v>
      </c>
      <c r="E16" s="5" t="n">
        <v>80000</v>
      </c>
      <c r="F16" s="5" t="n">
        <v>15000</v>
      </c>
      <c r="G16" s="5" t="n">
        <v>-19999.99999999999</v>
      </c>
      <c r="H16" s="5" t="n">
        <v>0</v>
      </c>
      <c r="I16" s="5" t="n">
        <v>5000</v>
      </c>
      <c r="J16" s="5" t="n">
        <v>0</v>
      </c>
      <c r="K16" s="5" t="n">
        <v>1555000</v>
      </c>
    </row>
    <row r="17">
      <c r="A17" s="2" t="inlineStr">
        <is>
          <t>2028-04</t>
        </is>
      </c>
      <c r="B17" s="5" t="n">
        <v>216666.6666666667</v>
      </c>
      <c r="C17" s="5" t="n">
        <v>21666.66666666667</v>
      </c>
      <c r="D17" s="5" t="n">
        <v>120000</v>
      </c>
      <c r="E17" s="5" t="n">
        <v>80000</v>
      </c>
      <c r="F17" s="5" t="n">
        <v>15000</v>
      </c>
      <c r="G17" s="5" t="n">
        <v>-19999.99999999999</v>
      </c>
      <c r="H17" s="5" t="n">
        <v>0</v>
      </c>
      <c r="I17" s="5" t="n">
        <v>5000</v>
      </c>
      <c r="J17" s="5" t="n">
        <v>0</v>
      </c>
      <c r="K17" s="5" t="n">
        <v>1530000</v>
      </c>
    </row>
    <row r="18">
      <c r="A18" s="2" t="inlineStr">
        <is>
          <t>2028-05</t>
        </is>
      </c>
      <c r="B18" s="5" t="n">
        <v>216666.6666666667</v>
      </c>
      <c r="C18" s="5" t="n">
        <v>21666.66666666667</v>
      </c>
      <c r="D18" s="5" t="n">
        <v>120000</v>
      </c>
      <c r="E18" s="5" t="n">
        <v>80000</v>
      </c>
      <c r="F18" s="5" t="n">
        <v>15000</v>
      </c>
      <c r="G18" s="5" t="n">
        <v>-19999.99999999999</v>
      </c>
      <c r="H18" s="5" t="n">
        <v>0</v>
      </c>
      <c r="I18" s="5" t="n">
        <v>5000</v>
      </c>
      <c r="J18" s="5" t="n">
        <v>0</v>
      </c>
      <c r="K18" s="5" t="n">
        <v>1505000</v>
      </c>
    </row>
    <row r="19">
      <c r="A19" s="2" t="inlineStr">
        <is>
          <t>2028-06</t>
        </is>
      </c>
      <c r="B19" s="5" t="n">
        <v>216666.6666666667</v>
      </c>
      <c r="C19" s="5" t="n">
        <v>21666.66666666667</v>
      </c>
      <c r="D19" s="5" t="n">
        <v>120000</v>
      </c>
      <c r="E19" s="5" t="n">
        <v>80000</v>
      </c>
      <c r="F19" s="5" t="n">
        <v>15000</v>
      </c>
      <c r="G19" s="5" t="n">
        <v>-19999.99999999999</v>
      </c>
      <c r="H19" s="5" t="n">
        <v>0</v>
      </c>
      <c r="I19" s="5" t="n">
        <v>5000</v>
      </c>
      <c r="J19" s="5" t="n">
        <v>0</v>
      </c>
      <c r="K19" s="5" t="n">
        <v>1480000</v>
      </c>
    </row>
    <row r="20">
      <c r="A20" s="2" t="inlineStr">
        <is>
          <t>2028-07</t>
        </is>
      </c>
      <c r="B20" s="5" t="n">
        <v>216666.6666666667</v>
      </c>
      <c r="C20" s="5" t="n">
        <v>21666.66666666667</v>
      </c>
      <c r="D20" s="5" t="n">
        <v>120000</v>
      </c>
      <c r="E20" s="5" t="n">
        <v>80000</v>
      </c>
      <c r="F20" s="5" t="n">
        <v>15000</v>
      </c>
      <c r="G20" s="5" t="n">
        <v>-19999.99999999999</v>
      </c>
      <c r="H20" s="5" t="n">
        <v>0</v>
      </c>
      <c r="I20" s="5" t="n">
        <v>5000</v>
      </c>
      <c r="J20" s="5" t="n">
        <v>0</v>
      </c>
      <c r="K20" s="5" t="n">
        <v>1455000</v>
      </c>
    </row>
    <row r="21">
      <c r="A21" s="2" t="inlineStr">
        <is>
          <t>2028-08</t>
        </is>
      </c>
      <c r="B21" s="5" t="n">
        <v>216666.6666666667</v>
      </c>
      <c r="C21" s="5" t="n">
        <v>21666.66666666667</v>
      </c>
      <c r="D21" s="5" t="n">
        <v>120000</v>
      </c>
      <c r="E21" s="5" t="n">
        <v>80000</v>
      </c>
      <c r="F21" s="5" t="n">
        <v>15000</v>
      </c>
      <c r="G21" s="5" t="n">
        <v>-19999.99999999999</v>
      </c>
      <c r="H21" s="5" t="n">
        <v>0</v>
      </c>
      <c r="I21" s="5" t="n">
        <v>5000</v>
      </c>
      <c r="J21" s="5" t="n">
        <v>0</v>
      </c>
      <c r="K21" s="5" t="n">
        <v>1430000</v>
      </c>
    </row>
    <row r="22">
      <c r="A22" s="2" t="inlineStr">
        <is>
          <t>2028-09</t>
        </is>
      </c>
      <c r="B22" s="5" t="n">
        <v>216666.6666666667</v>
      </c>
      <c r="C22" s="5" t="n">
        <v>21666.66666666667</v>
      </c>
      <c r="D22" s="5" t="n">
        <v>120000</v>
      </c>
      <c r="E22" s="5" t="n">
        <v>80000</v>
      </c>
      <c r="F22" s="5" t="n">
        <v>15000</v>
      </c>
      <c r="G22" s="5" t="n">
        <v>-19999.99999999999</v>
      </c>
      <c r="H22" s="5" t="n">
        <v>0</v>
      </c>
      <c r="I22" s="5" t="n">
        <v>5000</v>
      </c>
      <c r="J22" s="5" t="n">
        <v>0</v>
      </c>
      <c r="K22" s="5" t="n">
        <v>1405000</v>
      </c>
    </row>
    <row r="23">
      <c r="A23" s="2" t="inlineStr">
        <is>
          <t>2028-10</t>
        </is>
      </c>
      <c r="B23" s="5" t="n">
        <v>216666.6666666667</v>
      </c>
      <c r="C23" s="5" t="n">
        <v>21666.66666666667</v>
      </c>
      <c r="D23" s="5" t="n">
        <v>120000</v>
      </c>
      <c r="E23" s="5" t="n">
        <v>80000</v>
      </c>
      <c r="F23" s="5" t="n">
        <v>15000</v>
      </c>
      <c r="G23" s="5" t="n">
        <v>-19999.99999999999</v>
      </c>
      <c r="H23" s="5" t="n">
        <v>0</v>
      </c>
      <c r="I23" s="5" t="n">
        <v>5000</v>
      </c>
      <c r="J23" s="5" t="n">
        <v>0</v>
      </c>
      <c r="K23" s="5" t="n">
        <v>1380000</v>
      </c>
    </row>
    <row r="24">
      <c r="A24" s="2" t="inlineStr">
        <is>
          <t>2028-11</t>
        </is>
      </c>
      <c r="B24" s="5" t="n">
        <v>216666.6666666667</v>
      </c>
      <c r="C24" s="5" t="n">
        <v>21666.66666666667</v>
      </c>
      <c r="D24" s="5" t="n">
        <v>120000</v>
      </c>
      <c r="E24" s="5" t="n">
        <v>80000</v>
      </c>
      <c r="F24" s="5" t="n">
        <v>15000</v>
      </c>
      <c r="G24" s="5" t="n">
        <v>-19999.99999999999</v>
      </c>
      <c r="H24" s="5" t="n">
        <v>0</v>
      </c>
      <c r="I24" s="5" t="n">
        <v>5000</v>
      </c>
      <c r="J24" s="5" t="n">
        <v>0</v>
      </c>
      <c r="K24" s="5" t="n">
        <v>1355000</v>
      </c>
    </row>
    <row r="25">
      <c r="A25" s="2" t="inlineStr">
        <is>
          <t>2028-12</t>
        </is>
      </c>
      <c r="B25" s="5" t="n">
        <v>216666.6666666667</v>
      </c>
      <c r="C25" s="5" t="n">
        <v>21666.66666666667</v>
      </c>
      <c r="D25" s="5" t="n">
        <v>120000</v>
      </c>
      <c r="E25" s="5" t="n">
        <v>80000</v>
      </c>
      <c r="F25" s="5" t="n">
        <v>15000</v>
      </c>
      <c r="G25" s="5" t="n">
        <v>-19999.99999999999</v>
      </c>
      <c r="H25" s="5" t="n">
        <v>0</v>
      </c>
      <c r="I25" s="5" t="n">
        <v>5000</v>
      </c>
      <c r="J25" s="5" t="n">
        <v>0</v>
      </c>
      <c r="K25" s="5" t="n">
        <v>1330000</v>
      </c>
    </row>
    <row r="26">
      <c r="A26" s="2" t="inlineStr">
        <is>
          <t>2029-01</t>
        </is>
      </c>
      <c r="B26" s="5" t="n">
        <v>325000</v>
      </c>
      <c r="C26" s="5" t="n">
        <v>32500</v>
      </c>
      <c r="D26" s="5" t="n">
        <v>180000</v>
      </c>
      <c r="E26" s="5" t="n">
        <v>80000</v>
      </c>
      <c r="F26" s="5" t="n">
        <v>20000</v>
      </c>
      <c r="G26" s="5" t="n">
        <v>12500</v>
      </c>
      <c r="H26" s="5" t="n">
        <v>0</v>
      </c>
      <c r="I26" s="5" t="n">
        <v>5000</v>
      </c>
      <c r="J26" s="5" t="n">
        <v>0</v>
      </c>
      <c r="K26" s="5" t="n">
        <v>1337500</v>
      </c>
    </row>
    <row r="27">
      <c r="A27" s="2" t="inlineStr">
        <is>
          <t>2029-02</t>
        </is>
      </c>
      <c r="B27" s="5" t="n">
        <v>325000</v>
      </c>
      <c r="C27" s="5" t="n">
        <v>32500</v>
      </c>
      <c r="D27" s="5" t="n">
        <v>180000</v>
      </c>
      <c r="E27" s="5" t="n">
        <v>80000</v>
      </c>
      <c r="F27" s="5" t="n">
        <v>20000</v>
      </c>
      <c r="G27" s="5" t="n">
        <v>12500</v>
      </c>
      <c r="H27" s="5" t="n">
        <v>0</v>
      </c>
      <c r="I27" s="5" t="n">
        <v>5000</v>
      </c>
      <c r="J27" s="5" t="n">
        <v>0</v>
      </c>
      <c r="K27" s="5" t="n">
        <v>1345000</v>
      </c>
    </row>
    <row r="28">
      <c r="A28" s="2" t="inlineStr">
        <is>
          <t>2029-03</t>
        </is>
      </c>
      <c r="B28" s="5" t="n">
        <v>325000</v>
      </c>
      <c r="C28" s="5" t="n">
        <v>32500</v>
      </c>
      <c r="D28" s="5" t="n">
        <v>180000</v>
      </c>
      <c r="E28" s="5" t="n">
        <v>80000</v>
      </c>
      <c r="F28" s="5" t="n">
        <v>20000</v>
      </c>
      <c r="G28" s="5" t="n">
        <v>12500</v>
      </c>
      <c r="H28" s="5" t="n">
        <v>0</v>
      </c>
      <c r="I28" s="5" t="n">
        <v>5000</v>
      </c>
      <c r="J28" s="5" t="n">
        <v>0</v>
      </c>
      <c r="K28" s="5" t="n">
        <v>1352500</v>
      </c>
    </row>
    <row r="29">
      <c r="A29" s="2" t="inlineStr">
        <is>
          <t>2029-04</t>
        </is>
      </c>
      <c r="B29" s="5" t="n">
        <v>325000</v>
      </c>
      <c r="C29" s="5" t="n">
        <v>32500</v>
      </c>
      <c r="D29" s="5" t="n">
        <v>180000</v>
      </c>
      <c r="E29" s="5" t="n">
        <v>80000</v>
      </c>
      <c r="F29" s="5" t="n">
        <v>20000</v>
      </c>
      <c r="G29" s="5" t="n">
        <v>12500</v>
      </c>
      <c r="H29" s="5" t="n">
        <v>0</v>
      </c>
      <c r="I29" s="5" t="n">
        <v>5000</v>
      </c>
      <c r="J29" s="5" t="n">
        <v>0</v>
      </c>
      <c r="K29" s="5" t="n">
        <v>1360000</v>
      </c>
    </row>
    <row r="30">
      <c r="A30" s="2" t="inlineStr">
        <is>
          <t>2029-05</t>
        </is>
      </c>
      <c r="B30" s="5" t="n">
        <v>325000</v>
      </c>
      <c r="C30" s="5" t="n">
        <v>32500</v>
      </c>
      <c r="D30" s="5" t="n">
        <v>180000</v>
      </c>
      <c r="E30" s="5" t="n">
        <v>80000</v>
      </c>
      <c r="F30" s="5" t="n">
        <v>20000</v>
      </c>
      <c r="G30" s="5" t="n">
        <v>12500</v>
      </c>
      <c r="H30" s="5" t="n">
        <v>0</v>
      </c>
      <c r="I30" s="5" t="n">
        <v>5000</v>
      </c>
      <c r="J30" s="5" t="n">
        <v>0</v>
      </c>
      <c r="K30" s="5" t="n">
        <v>1367500</v>
      </c>
    </row>
    <row r="31">
      <c r="A31" s="2" t="inlineStr">
        <is>
          <t>2029-06</t>
        </is>
      </c>
      <c r="B31" s="5" t="n">
        <v>325000</v>
      </c>
      <c r="C31" s="5" t="n">
        <v>32500</v>
      </c>
      <c r="D31" s="5" t="n">
        <v>180000</v>
      </c>
      <c r="E31" s="5" t="n">
        <v>80000</v>
      </c>
      <c r="F31" s="5" t="n">
        <v>20000</v>
      </c>
      <c r="G31" s="5" t="n">
        <v>12500</v>
      </c>
      <c r="H31" s="5" t="n">
        <v>0</v>
      </c>
      <c r="I31" s="5" t="n">
        <v>5000</v>
      </c>
      <c r="J31" s="5" t="n">
        <v>0</v>
      </c>
      <c r="K31" s="5" t="n">
        <v>1375000</v>
      </c>
    </row>
    <row r="32">
      <c r="A32" s="2" t="inlineStr">
        <is>
          <t>2029-07</t>
        </is>
      </c>
      <c r="B32" s="5" t="n">
        <v>325000</v>
      </c>
      <c r="C32" s="5" t="n">
        <v>32500</v>
      </c>
      <c r="D32" s="5" t="n">
        <v>180000</v>
      </c>
      <c r="E32" s="5" t="n">
        <v>80000</v>
      </c>
      <c r="F32" s="5" t="n">
        <v>20000</v>
      </c>
      <c r="G32" s="5" t="n">
        <v>12500</v>
      </c>
      <c r="H32" s="5" t="n">
        <v>0</v>
      </c>
      <c r="I32" s="5" t="n">
        <v>5000</v>
      </c>
      <c r="J32" s="5" t="n">
        <v>0</v>
      </c>
      <c r="K32" s="5" t="n">
        <v>1382500</v>
      </c>
    </row>
    <row r="33">
      <c r="A33" s="2" t="inlineStr">
        <is>
          <t>2029-08</t>
        </is>
      </c>
      <c r="B33" s="5" t="n">
        <v>325000</v>
      </c>
      <c r="C33" s="5" t="n">
        <v>32500</v>
      </c>
      <c r="D33" s="5" t="n">
        <v>180000</v>
      </c>
      <c r="E33" s="5" t="n">
        <v>80000</v>
      </c>
      <c r="F33" s="5" t="n">
        <v>20000</v>
      </c>
      <c r="G33" s="5" t="n">
        <v>12500</v>
      </c>
      <c r="H33" s="5" t="n">
        <v>0</v>
      </c>
      <c r="I33" s="5" t="n">
        <v>5000</v>
      </c>
      <c r="J33" s="5" t="n">
        <v>0</v>
      </c>
      <c r="K33" s="5" t="n">
        <v>1390000</v>
      </c>
    </row>
    <row r="34">
      <c r="A34" s="2" t="inlineStr">
        <is>
          <t>2029-09</t>
        </is>
      </c>
      <c r="B34" s="5" t="n">
        <v>325000</v>
      </c>
      <c r="C34" s="5" t="n">
        <v>32500</v>
      </c>
      <c r="D34" s="5" t="n">
        <v>180000</v>
      </c>
      <c r="E34" s="5" t="n">
        <v>80000</v>
      </c>
      <c r="F34" s="5" t="n">
        <v>20000</v>
      </c>
      <c r="G34" s="5" t="n">
        <v>12500</v>
      </c>
      <c r="H34" s="5" t="n">
        <v>0</v>
      </c>
      <c r="I34" s="5" t="n">
        <v>5000</v>
      </c>
      <c r="J34" s="5" t="n">
        <v>0</v>
      </c>
      <c r="K34" s="5" t="n">
        <v>1397500</v>
      </c>
    </row>
    <row r="35">
      <c r="A35" s="2" t="inlineStr">
        <is>
          <t>2029-10</t>
        </is>
      </c>
      <c r="B35" s="5" t="n">
        <v>325000</v>
      </c>
      <c r="C35" s="5" t="n">
        <v>32500</v>
      </c>
      <c r="D35" s="5" t="n">
        <v>180000</v>
      </c>
      <c r="E35" s="5" t="n">
        <v>80000</v>
      </c>
      <c r="F35" s="5" t="n">
        <v>20000</v>
      </c>
      <c r="G35" s="5" t="n">
        <v>12500</v>
      </c>
      <c r="H35" s="5" t="n">
        <v>0</v>
      </c>
      <c r="I35" s="5" t="n">
        <v>5000</v>
      </c>
      <c r="J35" s="5" t="n">
        <v>0</v>
      </c>
      <c r="K35" s="5" t="n">
        <v>1405000</v>
      </c>
    </row>
    <row r="36">
      <c r="A36" s="2" t="inlineStr">
        <is>
          <t>2029-11</t>
        </is>
      </c>
      <c r="B36" s="5" t="n">
        <v>325000</v>
      </c>
      <c r="C36" s="5" t="n">
        <v>32500</v>
      </c>
      <c r="D36" s="5" t="n">
        <v>180000</v>
      </c>
      <c r="E36" s="5" t="n">
        <v>80000</v>
      </c>
      <c r="F36" s="5" t="n">
        <v>20000</v>
      </c>
      <c r="G36" s="5" t="n">
        <v>12500</v>
      </c>
      <c r="H36" s="5" t="n">
        <v>0</v>
      </c>
      <c r="I36" s="5" t="n">
        <v>5000</v>
      </c>
      <c r="J36" s="5" t="n">
        <v>0</v>
      </c>
      <c r="K36" s="5" t="n">
        <v>1412500</v>
      </c>
    </row>
    <row r="37">
      <c r="A37" s="2" t="inlineStr">
        <is>
          <t>2029-12</t>
        </is>
      </c>
      <c r="B37" s="5" t="n">
        <v>325000</v>
      </c>
      <c r="C37" s="5" t="n">
        <v>32500</v>
      </c>
      <c r="D37" s="5" t="n">
        <v>180000</v>
      </c>
      <c r="E37" s="5" t="n">
        <v>80000</v>
      </c>
      <c r="F37" s="5" t="n">
        <v>20000</v>
      </c>
      <c r="G37" s="5" t="n">
        <v>12500</v>
      </c>
      <c r="H37" s="5" t="n">
        <v>0</v>
      </c>
      <c r="I37" s="5" t="n">
        <v>5000</v>
      </c>
      <c r="J37" s="5" t="n">
        <v>0</v>
      </c>
      <c r="K37" s="5" t="n">
        <v>1420000</v>
      </c>
    </row>
    <row r="38">
      <c r="A38" s="2" t="inlineStr">
        <is>
          <t>2030-01</t>
        </is>
      </c>
      <c r="B38" s="5" t="n">
        <v>433333.3333333333</v>
      </c>
      <c r="C38" s="5" t="n">
        <v>43333.33333333334</v>
      </c>
      <c r="D38" s="5" t="n">
        <v>240000</v>
      </c>
      <c r="E38" s="5" t="n">
        <v>80000</v>
      </c>
      <c r="F38" s="5" t="n">
        <v>25000</v>
      </c>
      <c r="G38" s="5" t="n">
        <v>45000.00000000003</v>
      </c>
      <c r="H38" s="5" t="n">
        <v>0</v>
      </c>
      <c r="I38" s="5" t="n">
        <v>5000</v>
      </c>
      <c r="J38" s="5" t="n">
        <v>0</v>
      </c>
      <c r="K38" s="5" t="n">
        <v>1460000</v>
      </c>
    </row>
    <row r="39">
      <c r="A39" s="2" t="inlineStr">
        <is>
          <t>2030-02</t>
        </is>
      </c>
      <c r="B39" s="5" t="n">
        <v>433333.3333333333</v>
      </c>
      <c r="C39" s="5" t="n">
        <v>43333.33333333334</v>
      </c>
      <c r="D39" s="5" t="n">
        <v>240000</v>
      </c>
      <c r="E39" s="5" t="n">
        <v>80000</v>
      </c>
      <c r="F39" s="5" t="n">
        <v>25000</v>
      </c>
      <c r="G39" s="5" t="n">
        <v>45000.00000000003</v>
      </c>
      <c r="H39" s="5" t="n">
        <v>0</v>
      </c>
      <c r="I39" s="5" t="n">
        <v>5000</v>
      </c>
      <c r="J39" s="5" t="n">
        <v>0</v>
      </c>
      <c r="K39" s="5" t="n">
        <v>1500000</v>
      </c>
    </row>
    <row r="40">
      <c r="A40" s="2" t="inlineStr">
        <is>
          <t>2030-03</t>
        </is>
      </c>
      <c r="B40" s="5" t="n">
        <v>433333.3333333333</v>
      </c>
      <c r="C40" s="5" t="n">
        <v>43333.33333333334</v>
      </c>
      <c r="D40" s="5" t="n">
        <v>240000</v>
      </c>
      <c r="E40" s="5" t="n">
        <v>80000</v>
      </c>
      <c r="F40" s="5" t="n">
        <v>25000</v>
      </c>
      <c r="G40" s="5" t="n">
        <v>45000.00000000003</v>
      </c>
      <c r="H40" s="5" t="n">
        <v>0</v>
      </c>
      <c r="I40" s="5" t="n">
        <v>5000</v>
      </c>
      <c r="J40" s="5" t="n">
        <v>0</v>
      </c>
      <c r="K40" s="5" t="n">
        <v>1540000</v>
      </c>
    </row>
    <row r="41">
      <c r="A41" s="2" t="inlineStr">
        <is>
          <t>2030-04</t>
        </is>
      </c>
      <c r="B41" s="5" t="n">
        <v>433333.3333333333</v>
      </c>
      <c r="C41" s="5" t="n">
        <v>43333.33333333334</v>
      </c>
      <c r="D41" s="5" t="n">
        <v>240000</v>
      </c>
      <c r="E41" s="5" t="n">
        <v>80000</v>
      </c>
      <c r="F41" s="5" t="n">
        <v>25000</v>
      </c>
      <c r="G41" s="5" t="n">
        <v>45000.00000000003</v>
      </c>
      <c r="H41" s="5" t="n">
        <v>0</v>
      </c>
      <c r="I41" s="5" t="n">
        <v>5000</v>
      </c>
      <c r="J41" s="5" t="n">
        <v>0</v>
      </c>
      <c r="K41" s="5" t="n">
        <v>1580000</v>
      </c>
    </row>
    <row r="42">
      <c r="A42" s="2" t="inlineStr">
        <is>
          <t>2030-05</t>
        </is>
      </c>
      <c r="B42" s="5" t="n">
        <v>433333.3333333333</v>
      </c>
      <c r="C42" s="5" t="n">
        <v>43333.33333333334</v>
      </c>
      <c r="D42" s="5" t="n">
        <v>240000</v>
      </c>
      <c r="E42" s="5" t="n">
        <v>80000</v>
      </c>
      <c r="F42" s="5" t="n">
        <v>25000</v>
      </c>
      <c r="G42" s="5" t="n">
        <v>45000.00000000003</v>
      </c>
      <c r="H42" s="5" t="n">
        <v>0</v>
      </c>
      <c r="I42" s="5" t="n">
        <v>5000</v>
      </c>
      <c r="J42" s="5" t="n">
        <v>0</v>
      </c>
      <c r="K42" s="5" t="n">
        <v>1620000</v>
      </c>
    </row>
    <row r="43">
      <c r="A43" s="2" t="inlineStr">
        <is>
          <t>2030-06</t>
        </is>
      </c>
      <c r="B43" s="5" t="n">
        <v>433333.3333333333</v>
      </c>
      <c r="C43" s="5" t="n">
        <v>43333.33333333334</v>
      </c>
      <c r="D43" s="5" t="n">
        <v>240000</v>
      </c>
      <c r="E43" s="5" t="n">
        <v>80000</v>
      </c>
      <c r="F43" s="5" t="n">
        <v>25000</v>
      </c>
      <c r="G43" s="5" t="n">
        <v>45000.00000000003</v>
      </c>
      <c r="H43" s="5" t="n">
        <v>0</v>
      </c>
      <c r="I43" s="5" t="n">
        <v>5000</v>
      </c>
      <c r="J43" s="5" t="n">
        <v>0</v>
      </c>
      <c r="K43" s="5" t="n">
        <v>1660000</v>
      </c>
    </row>
    <row r="44">
      <c r="A44" s="2" t="inlineStr">
        <is>
          <t>2030-07</t>
        </is>
      </c>
      <c r="B44" s="5" t="n">
        <v>433333.3333333333</v>
      </c>
      <c r="C44" s="5" t="n">
        <v>43333.33333333334</v>
      </c>
      <c r="D44" s="5" t="n">
        <v>240000</v>
      </c>
      <c r="E44" s="5" t="n">
        <v>80000</v>
      </c>
      <c r="F44" s="5" t="n">
        <v>25000</v>
      </c>
      <c r="G44" s="5" t="n">
        <v>45000.00000000003</v>
      </c>
      <c r="H44" s="5" t="n">
        <v>0</v>
      </c>
      <c r="I44" s="5" t="n">
        <v>5000</v>
      </c>
      <c r="J44" s="5" t="n">
        <v>0</v>
      </c>
      <c r="K44" s="5" t="n">
        <v>1700000</v>
      </c>
    </row>
    <row r="45">
      <c r="A45" s="2" t="inlineStr">
        <is>
          <t>2030-08</t>
        </is>
      </c>
      <c r="B45" s="5" t="n">
        <v>433333.3333333333</v>
      </c>
      <c r="C45" s="5" t="n">
        <v>43333.33333333334</v>
      </c>
      <c r="D45" s="5" t="n">
        <v>240000</v>
      </c>
      <c r="E45" s="5" t="n">
        <v>80000</v>
      </c>
      <c r="F45" s="5" t="n">
        <v>25000</v>
      </c>
      <c r="G45" s="5" t="n">
        <v>45000.00000000003</v>
      </c>
      <c r="H45" s="5" t="n">
        <v>0</v>
      </c>
      <c r="I45" s="5" t="n">
        <v>5000</v>
      </c>
      <c r="J45" s="5" t="n">
        <v>0</v>
      </c>
      <c r="K45" s="5" t="n">
        <v>1740000</v>
      </c>
    </row>
    <row r="46">
      <c r="A46" s="2" t="inlineStr">
        <is>
          <t>2030-09</t>
        </is>
      </c>
      <c r="B46" s="5" t="n">
        <v>433333.3333333333</v>
      </c>
      <c r="C46" s="5" t="n">
        <v>43333.33333333334</v>
      </c>
      <c r="D46" s="5" t="n">
        <v>240000</v>
      </c>
      <c r="E46" s="5" t="n">
        <v>80000</v>
      </c>
      <c r="F46" s="5" t="n">
        <v>25000</v>
      </c>
      <c r="G46" s="5" t="n">
        <v>45000.00000000003</v>
      </c>
      <c r="H46" s="5" t="n">
        <v>0</v>
      </c>
      <c r="I46" s="5" t="n">
        <v>5000</v>
      </c>
      <c r="J46" s="5" t="n">
        <v>0</v>
      </c>
      <c r="K46" s="5" t="n">
        <v>1780000</v>
      </c>
    </row>
    <row r="47">
      <c r="A47" s="2" t="inlineStr">
        <is>
          <t>2030-10</t>
        </is>
      </c>
      <c r="B47" s="5" t="n">
        <v>433333.3333333333</v>
      </c>
      <c r="C47" s="5" t="n">
        <v>43333.33333333334</v>
      </c>
      <c r="D47" s="5" t="n">
        <v>240000</v>
      </c>
      <c r="E47" s="5" t="n">
        <v>80000</v>
      </c>
      <c r="F47" s="5" t="n">
        <v>25000</v>
      </c>
      <c r="G47" s="5" t="n">
        <v>45000.00000000003</v>
      </c>
      <c r="H47" s="5" t="n">
        <v>0</v>
      </c>
      <c r="I47" s="5" t="n">
        <v>5000</v>
      </c>
      <c r="J47" s="5" t="n">
        <v>0</v>
      </c>
      <c r="K47" s="5" t="n">
        <v>1820000</v>
      </c>
    </row>
    <row r="48">
      <c r="A48" s="2" t="inlineStr">
        <is>
          <t>2030-11</t>
        </is>
      </c>
      <c r="B48" s="5" t="n">
        <v>433333.3333333333</v>
      </c>
      <c r="C48" s="5" t="n">
        <v>43333.33333333334</v>
      </c>
      <c r="D48" s="5" t="n">
        <v>240000</v>
      </c>
      <c r="E48" s="5" t="n">
        <v>80000</v>
      </c>
      <c r="F48" s="5" t="n">
        <v>25000</v>
      </c>
      <c r="G48" s="5" t="n">
        <v>45000.00000000003</v>
      </c>
      <c r="H48" s="5" t="n">
        <v>0</v>
      </c>
      <c r="I48" s="5" t="n">
        <v>5000</v>
      </c>
      <c r="J48" s="5" t="n">
        <v>0</v>
      </c>
      <c r="K48" s="5" t="n">
        <v>1860000</v>
      </c>
    </row>
    <row r="49">
      <c r="A49" s="2" t="inlineStr">
        <is>
          <t>2030-12</t>
        </is>
      </c>
      <c r="B49" s="5" t="n">
        <v>433333.3333333333</v>
      </c>
      <c r="C49" s="5" t="n">
        <v>43333.33333333334</v>
      </c>
      <c r="D49" s="5" t="n">
        <v>240000</v>
      </c>
      <c r="E49" s="5" t="n">
        <v>80000</v>
      </c>
      <c r="F49" s="5" t="n">
        <v>25000</v>
      </c>
      <c r="G49" s="5" t="n">
        <v>45000.00000000003</v>
      </c>
      <c r="H49" s="5" t="n">
        <v>0</v>
      </c>
      <c r="I49" s="5" t="n">
        <v>5000</v>
      </c>
      <c r="J49" s="5" t="n">
        <v>0</v>
      </c>
      <c r="K49" s="5" t="n">
        <v>1900000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40" customWidth="1" min="4" max="4"/>
    <col width="16" customWidth="1" min="5" max="5"/>
  </cols>
  <sheetData>
    <row r="1">
      <c r="A1" s="1" t="inlineStr">
        <is>
          <t>Linha</t>
        </is>
      </c>
      <c r="B1" s="1" t="inlineStr">
        <is>
          <t>Atratividade (0–5)</t>
        </is>
      </c>
      <c r="C1" s="1" t="inlineStr">
        <is>
          <t>Capacidade de vencer (0–5)</t>
        </is>
      </c>
      <c r="D1" s="1" t="inlineStr">
        <is>
          <t>Quadrante</t>
        </is>
      </c>
      <c r="E1" s="1" t="inlineStr">
        <is>
          <t>Decisão</t>
        </is>
      </c>
    </row>
    <row r="2">
      <c r="A2" s="2" t="inlineStr">
        <is>
          <t>Linha A</t>
        </is>
      </c>
      <c r="B2" s="10" t="n">
        <v>3.666666666666667</v>
      </c>
      <c r="C2" s="10" t="n">
        <v>3.5</v>
      </c>
      <c r="D2" s="2" t="inlineStr">
        <is>
          <t>alta atratividade / alta capacidade</t>
        </is>
      </c>
      <c r="E2" s="2" t="inlineStr">
        <is>
          <t>investir</t>
        </is>
      </c>
    </row>
    <row r="3">
      <c r="A3" s="2" t="inlineStr">
        <is>
          <t>Linha B</t>
        </is>
      </c>
      <c r="B3" s="10" t="n">
        <v>2</v>
      </c>
      <c r="C3" s="10" t="n">
        <v>1.5</v>
      </c>
      <c r="D3" s="2" t="inlineStr">
        <is>
          <t>baixa atratividade / baixa capacidade</t>
        </is>
      </c>
      <c r="E3" s="2" t="inlineStr">
        <is>
          <t>colher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Prioridade</t>
        </is>
      </c>
      <c r="B1" s="1" t="inlineStr">
        <is>
          <t>ID</t>
        </is>
      </c>
      <c r="C1" s="1" t="inlineStr">
        <is>
          <t>Iniciativa</t>
        </is>
      </c>
      <c r="D1" s="1" t="inlineStr">
        <is>
          <t>Objetivo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Confiança</t>
        </is>
      </c>
      <c r="H1" s="1" t="inlineStr">
        <is>
          <t>Esforço (pessoas-mês)</t>
        </is>
      </c>
      <c r="I1" s="1" t="inlineStr">
        <is>
          <t>Início</t>
        </is>
      </c>
      <c r="J1" s="1" t="inlineStr">
        <is>
          <t>Fim</t>
        </is>
      </c>
      <c r="K1" s="1" t="inlineStr">
        <is>
          <t>Custo externo</t>
        </is>
      </c>
    </row>
    <row r="2">
      <c r="A2" s="10" t="n">
        <v>0.8000000000000002</v>
      </c>
      <c r="B2" s="2" t="inlineStr">
        <is>
          <t>I02</t>
        </is>
      </c>
      <c r="C2" s="2" t="inlineStr">
        <is>
          <t>Iniciativa fictícia 2</t>
        </is>
      </c>
      <c r="D2" s="2" t="inlineStr">
        <is>
          <t>OB2</t>
        </is>
      </c>
      <c r="E2" s="2" t="inlineStr">
        <is>
          <t>melhoria</t>
        </is>
      </c>
      <c r="F2" s="2" t="n">
        <v>3</v>
      </c>
      <c r="G2" s="2" t="n">
        <v>0.8</v>
      </c>
      <c r="H2" s="2" t="n">
        <v>3</v>
      </c>
      <c r="I2" s="2" t="inlineStr">
        <is>
          <t>2027-03</t>
        </is>
      </c>
      <c r="J2" s="2" t="inlineStr">
        <is>
          <t>2027-05</t>
        </is>
      </c>
      <c r="K2" s="3" t="n">
        <v>5000</v>
      </c>
    </row>
    <row r="3">
      <c r="A3" s="10" t="n">
        <v>0.5</v>
      </c>
      <c r="B3" s="2" t="inlineStr">
        <is>
          <t>I01</t>
        </is>
      </c>
      <c r="C3" s="2" t="inlineStr">
        <is>
          <t>Iniciativa fictícia 1</t>
        </is>
      </c>
      <c r="D3" s="2" t="inlineStr">
        <is>
          <t>OB1</t>
        </is>
      </c>
      <c r="E3" s="2" t="inlineStr">
        <is>
          <t>aposta</t>
        </is>
      </c>
      <c r="F3" s="2" t="n">
        <v>5</v>
      </c>
      <c r="G3" s="2" t="n">
        <v>0.6</v>
      </c>
      <c r="H3" s="2" t="n">
        <v>6</v>
      </c>
      <c r="I3" s="2" t="inlineStr">
        <is>
          <t>2027-02</t>
        </is>
      </c>
      <c r="J3" s="2" t="inlineStr">
        <is>
          <t>2027-07</t>
        </is>
      </c>
      <c r="K3" s="3" t="n">
        <v>20000</v>
      </c>
    </row>
    <row r="5">
      <c r="A5" s="4" t="inlineStr">
        <is>
          <t>Sobrecargas de capacidade (FTE)</t>
        </is>
      </c>
    </row>
    <row r="6">
      <c r="A6" s="2" t="inlineStr">
        <is>
          <t>nenhuma</t>
        </is>
      </c>
      <c r="B6" s="2" t="n"/>
      <c r="C6" s="2" t="n"/>
      <c r="D6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Objetivo</t>
        </is>
      </c>
      <c r="B1" s="1" t="inlineStr">
        <is>
          <t>KR</t>
        </is>
      </c>
      <c r="C1" s="1" t="inlineStr">
        <is>
          <t>Métrica</t>
        </is>
      </c>
      <c r="D1" s="1" t="inlineStr">
        <is>
          <t>Baseline</t>
        </is>
      </c>
      <c r="E1" s="1" t="inlineStr">
        <is>
          <t>Meta anual</t>
        </is>
      </c>
      <c r="F1" s="1" t="inlineStr">
        <is>
          <t>T1</t>
        </is>
      </c>
      <c r="G1" s="1" t="inlineStr">
        <is>
          <t>T2</t>
        </is>
      </c>
      <c r="H1" s="1" t="inlineStr">
        <is>
          <t>T3</t>
        </is>
      </c>
      <c r="I1" s="1" t="inlineStr">
        <is>
          <t>T4</t>
        </is>
      </c>
      <c r="J1" s="1" t="inlineStr">
        <is>
          <t>Dono</t>
        </is>
      </c>
      <c r="K1" s="1" t="inlineStr">
        <is>
          <t>Fonte do dado</t>
        </is>
      </c>
    </row>
    <row r="2">
      <c r="A2" s="2" t="inlineStr">
        <is>
          <t>Objetivo fictício 1</t>
        </is>
      </c>
      <c r="B2" s="2" t="inlineStr">
        <is>
          <t>KR fictício</t>
        </is>
      </c>
      <c r="C2" s="2" t="inlineStr">
        <is>
          <t>número</t>
        </is>
      </c>
      <c r="D2" s="2" t="n">
        <v>0</v>
      </c>
      <c r="E2" s="2" t="n">
        <v>10</v>
      </c>
      <c r="F2" s="2" t="n">
        <v>2</v>
      </c>
      <c r="G2" s="2" t="n">
        <v>5</v>
      </c>
      <c r="H2" s="2" t="n">
        <v>7</v>
      </c>
      <c r="I2" s="2" t="n">
        <v>10</v>
      </c>
      <c r="J2" s="2" t="inlineStr">
        <is>
          <t>FICTÍCIO</t>
        </is>
      </c>
      <c r="K2" s="2" t="inlineStr">
        <is>
          <t>FICTÍCIO – teste do motor</t>
        </is>
      </c>
    </row>
    <row r="3">
      <c r="A3" s="2" t="inlineStr">
        <is>
          <t>Objetivo fictício 1</t>
        </is>
      </c>
      <c r="B3" s="2" t="inlineStr">
        <is>
          <t>KR fictício</t>
        </is>
      </c>
      <c r="C3" s="2" t="inlineStr">
        <is>
          <t>número</t>
        </is>
      </c>
      <c r="D3" s="2" t="n">
        <v>0</v>
      </c>
      <c r="E3" s="2" t="n">
        <v>10</v>
      </c>
      <c r="F3" s="2" t="n">
        <v>2</v>
      </c>
      <c r="G3" s="2" t="n">
        <v>5</v>
      </c>
      <c r="H3" s="2" t="n">
        <v>7</v>
      </c>
      <c r="I3" s="2" t="n">
        <v>10</v>
      </c>
      <c r="J3" s="2" t="inlineStr">
        <is>
          <t>FICTÍCIO</t>
        </is>
      </c>
      <c r="K3" s="2" t="inlineStr">
        <is>
          <t>FICTÍCIO – teste do motor</t>
        </is>
      </c>
    </row>
    <row r="4">
      <c r="A4" s="2" t="inlineStr">
        <is>
          <t>Objetivo fictício 2</t>
        </is>
      </c>
      <c r="B4" s="2" t="inlineStr">
        <is>
          <t>KR fictício</t>
        </is>
      </c>
      <c r="C4" s="2" t="inlineStr">
        <is>
          <t>número</t>
        </is>
      </c>
      <c r="D4" s="2" t="n">
        <v>0</v>
      </c>
      <c r="E4" s="2" t="n">
        <v>10</v>
      </c>
      <c r="F4" s="2" t="n">
        <v>2</v>
      </c>
      <c r="G4" s="2" t="n">
        <v>5</v>
      </c>
      <c r="H4" s="2" t="n">
        <v>7</v>
      </c>
      <c r="I4" s="2" t="n">
        <v>10</v>
      </c>
      <c r="J4" s="2" t="inlineStr">
        <is>
          <t>FICTÍCIO</t>
        </is>
      </c>
      <c r="K4" s="2" t="inlineStr">
        <is>
          <t>FICTÍCIO – teste do motor</t>
        </is>
      </c>
    </row>
    <row r="5">
      <c r="A5" s="2" t="inlineStr">
        <is>
          <t>Objetivo fictício 2</t>
        </is>
      </c>
      <c r="B5" s="2" t="inlineStr">
        <is>
          <t>KR fictício</t>
        </is>
      </c>
      <c r="C5" s="2" t="inlineStr">
        <is>
          <t>número</t>
        </is>
      </c>
      <c r="D5" s="2" t="n">
        <v>0</v>
      </c>
      <c r="E5" s="2" t="n">
        <v>10</v>
      </c>
      <c r="F5" s="2" t="n">
        <v>2</v>
      </c>
      <c r="G5" s="2" t="n">
        <v>5</v>
      </c>
      <c r="H5" s="2" t="n">
        <v>7</v>
      </c>
      <c r="I5" s="2" t="n">
        <v>10</v>
      </c>
      <c r="J5" s="2" t="inlineStr">
        <is>
          <t>FICTÍCIO</t>
        </is>
      </c>
      <c r="K5" s="2" t="inlineStr">
        <is>
          <t>FICTÍCIO – teste do motor</t>
        </is>
      </c>
    </row>
    <row r="6">
      <c r="A6" s="2" t="inlineStr">
        <is>
          <t>Objetivo fictício 3</t>
        </is>
      </c>
      <c r="B6" s="2" t="inlineStr">
        <is>
          <t>KR fictício</t>
        </is>
      </c>
      <c r="C6" s="2" t="inlineStr">
        <is>
          <t>número</t>
        </is>
      </c>
      <c r="D6" s="2" t="n">
        <v>0</v>
      </c>
      <c r="E6" s="2" t="n">
        <v>10</v>
      </c>
      <c r="F6" s="2" t="n">
        <v>2</v>
      </c>
      <c r="G6" s="2" t="n">
        <v>5</v>
      </c>
      <c r="H6" s="2" t="n">
        <v>7</v>
      </c>
      <c r="I6" s="2" t="n">
        <v>10</v>
      </c>
      <c r="J6" s="2" t="inlineStr">
        <is>
          <t>FICTÍCIO</t>
        </is>
      </c>
      <c r="K6" s="2" t="inlineStr">
        <is>
          <t>FICTÍCIO – teste do motor</t>
        </is>
      </c>
    </row>
    <row r="7">
      <c r="A7" s="2" t="inlineStr">
        <is>
          <t>Objetivo fictício 3</t>
        </is>
      </c>
      <c r="B7" s="2" t="inlineStr">
        <is>
          <t>KR fictício</t>
        </is>
      </c>
      <c r="C7" s="2" t="inlineStr">
        <is>
          <t>número</t>
        </is>
      </c>
      <c r="D7" s="2" t="n">
        <v>0</v>
      </c>
      <c r="E7" s="2" t="n">
        <v>10</v>
      </c>
      <c r="F7" s="2" t="n">
        <v>2</v>
      </c>
      <c r="G7" s="2" t="n">
        <v>5</v>
      </c>
      <c r="H7" s="2" t="n">
        <v>7</v>
      </c>
      <c r="I7" s="2" t="n">
        <v>10</v>
      </c>
      <c r="J7" s="2" t="inlineStr">
        <is>
          <t>FICTÍCIO</t>
        </is>
      </c>
      <c r="K7" s="2" t="inlineStr">
        <is>
          <t>FICTÍCIO – teste do motor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  <col width="30" customWidth="1" min="6" max="6"/>
    <col width="30" customWidth="1" min="7" max="7"/>
    <col width="30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Risco</t>
        </is>
      </c>
      <c r="C1" s="1" t="inlineStr">
        <is>
          <t>Categoria</t>
        </is>
      </c>
      <c r="D1" s="1" t="inlineStr">
        <is>
          <t>Probabilidade</t>
        </is>
      </c>
      <c r="E1" s="1" t="inlineStr">
        <is>
          <t>Impacto</t>
        </is>
      </c>
      <c r="F1" s="1" t="inlineStr">
        <is>
          <t>Gatilho</t>
        </is>
      </c>
      <c r="G1" s="1" t="inlineStr">
        <is>
          <t>Mitigação</t>
        </is>
      </c>
      <c r="H1" s="1" t="inlineStr">
        <is>
          <t>Plano B</t>
        </is>
      </c>
      <c r="I1" s="1" t="inlineStr">
        <is>
          <t>Dono</t>
        </is>
      </c>
    </row>
    <row r="2">
      <c r="A2" s="2" t="inlineStr">
        <is>
          <t>R01</t>
        </is>
      </c>
      <c r="B2" s="2" t="inlineStr">
        <is>
          <t>FICTÍCIO – teste do motor</t>
        </is>
      </c>
      <c r="C2" s="2" t="inlineStr">
        <is>
          <t>execucao</t>
        </is>
      </c>
      <c r="D2" s="2" t="inlineStr">
        <is>
          <t>media</t>
        </is>
      </c>
      <c r="E2" s="2" t="inlineStr">
        <is>
          <t>alto</t>
        </is>
      </c>
      <c r="F2" s="2" t="inlineStr">
        <is>
          <t>FICTÍCIO – teste do motor</t>
        </is>
      </c>
      <c r="G2" s="2" t="inlineStr">
        <is>
          <t>FICTÍCIO – teste do motor</t>
        </is>
      </c>
      <c r="H2" s="2" t="inlineStr">
        <is>
          <t>FICTÍCIO – teste do motor</t>
        </is>
      </c>
      <c r="I2" s="2" t="inlineStr">
        <is>
          <t>FICTÍCIO</t>
        </is>
      </c>
    </row>
    <row r="3">
      <c r="A3" s="2" t="inlineStr">
        <is>
          <t>R02</t>
        </is>
      </c>
      <c r="B3" s="2" t="inlineStr">
        <is>
          <t>FICTÍCIO – teste do motor</t>
        </is>
      </c>
      <c r="C3" s="2" t="inlineStr">
        <is>
          <t>execucao</t>
        </is>
      </c>
      <c r="D3" s="2" t="inlineStr">
        <is>
          <t>media</t>
        </is>
      </c>
      <c r="E3" s="2" t="inlineStr">
        <is>
          <t>alto</t>
        </is>
      </c>
      <c r="F3" s="2" t="inlineStr">
        <is>
          <t>FICTÍCIO – teste do motor</t>
        </is>
      </c>
      <c r="G3" s="2" t="inlineStr">
        <is>
          <t>FICTÍCIO – teste do motor</t>
        </is>
      </c>
      <c r="H3" s="2" t="inlineStr">
        <is>
          <t>FICTÍCIO – teste do motor</t>
        </is>
      </c>
      <c r="I3" s="2" t="inlineStr">
        <is>
          <t>FICTÍCIO</t>
        </is>
      </c>
    </row>
    <row r="4">
      <c r="A4" s="2" t="inlineStr">
        <is>
          <t>R03</t>
        </is>
      </c>
      <c r="B4" s="2" t="inlineStr">
        <is>
          <t>FICTÍCIO – teste do motor</t>
        </is>
      </c>
      <c r="C4" s="2" t="inlineStr">
        <is>
          <t>execucao</t>
        </is>
      </c>
      <c r="D4" s="2" t="inlineStr">
        <is>
          <t>media</t>
        </is>
      </c>
      <c r="E4" s="2" t="inlineStr">
        <is>
          <t>alto</t>
        </is>
      </c>
      <c r="F4" s="2" t="inlineStr">
        <is>
          <t>FICTÍCIO – teste do motor</t>
        </is>
      </c>
      <c r="G4" s="2" t="inlineStr">
        <is>
          <t>FICTÍCIO – teste do motor</t>
        </is>
      </c>
      <c r="H4" s="2" t="inlineStr">
        <is>
          <t>FICTÍCIO – teste do motor</t>
        </is>
      </c>
      <c r="I4" s="2" t="inlineStr">
        <is>
          <t>FICTÍCIO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4" customWidth="1" min="3" max="3"/>
    <col width="34" customWidth="1" min="4" max="4"/>
    <col width="30" customWidth="1" min="5" max="5"/>
    <col width="16" customWidth="1" min="6" max="6"/>
    <col width="16" customWidth="1" min="7" max="7"/>
  </cols>
  <sheetData>
    <row r="1">
      <c r="A1" s="1" t="inlineStr">
        <is>
          <t>Opção</t>
        </is>
      </c>
      <c r="B1" s="1" t="inlineStr">
        <is>
          <t>ID</t>
        </is>
      </c>
      <c r="C1" s="1" t="inlineStr">
        <is>
          <t>O que precisa ser verdade</t>
        </is>
      </c>
      <c r="D1" s="1" t="inlineStr">
        <is>
          <t>Teste</t>
        </is>
      </c>
      <c r="E1" s="1" t="inlineStr">
        <is>
          <t>Critério de falha</t>
        </is>
      </c>
      <c r="F1" s="1" t="inlineStr">
        <is>
          <t>Prazo</t>
        </is>
      </c>
      <c r="G1" s="1" t="inlineStr">
        <is>
          <t>Status</t>
        </is>
      </c>
    </row>
    <row r="2">
      <c r="A2" s="2" t="inlineStr">
        <is>
          <t>O1</t>
        </is>
      </c>
      <c r="B2" s="2" t="inlineStr">
        <is>
          <t>O1-W1</t>
        </is>
      </c>
      <c r="C2" s="2" t="inlineStr">
        <is>
          <t>FICTÍCIO – teste do motor</t>
        </is>
      </c>
      <c r="D2" s="2" t="inlineStr">
        <is>
          <t>FICTÍCIO – teste do motor</t>
        </is>
      </c>
      <c r="E2" s="2" t="inlineStr">
        <is>
          <t>FICTÍCIO – teste do motor</t>
        </is>
      </c>
      <c r="F2" s="2" t="inlineStr">
        <is>
          <t>2027-06</t>
        </is>
      </c>
      <c r="G2" s="2" t="inlineStr">
        <is>
          <t>nao_testada</t>
        </is>
      </c>
    </row>
    <row r="3">
      <c r="A3" s="2" t="inlineStr">
        <is>
          <t>O1</t>
        </is>
      </c>
      <c r="B3" s="2" t="inlineStr">
        <is>
          <t>O1-W2</t>
        </is>
      </c>
      <c r="C3" s="2" t="inlineStr">
        <is>
          <t>FICTÍCIO – teste do motor</t>
        </is>
      </c>
      <c r="D3" s="2" t="inlineStr">
        <is>
          <t>FICTÍCIO – teste do motor</t>
        </is>
      </c>
      <c r="E3" s="2" t="inlineStr">
        <is>
          <t>FICTÍCIO – teste do motor</t>
        </is>
      </c>
      <c r="F3" s="2" t="inlineStr">
        <is>
          <t>2027-06</t>
        </is>
      </c>
      <c r="G3" s="2" t="inlineStr">
        <is>
          <t>nao_testada</t>
        </is>
      </c>
    </row>
    <row r="4">
      <c r="A4" s="2" t="inlineStr">
        <is>
          <t>O1</t>
        </is>
      </c>
      <c r="B4" s="2" t="inlineStr">
        <is>
          <t>O1-W3</t>
        </is>
      </c>
      <c r="C4" s="2" t="inlineStr">
        <is>
          <t>FICTÍCIO – teste do motor</t>
        </is>
      </c>
      <c r="D4" s="2" t="inlineStr">
        <is>
          <t>FICTÍCIO – teste do motor</t>
        </is>
      </c>
      <c r="E4" s="2" t="inlineStr">
        <is>
          <t>FICTÍCIO – teste do motor</t>
        </is>
      </c>
      <c r="F4" s="2" t="inlineStr">
        <is>
          <t>2027-06</t>
        </is>
      </c>
      <c r="G4" s="2" t="inlineStr">
        <is>
          <t>nao_testada</t>
        </is>
      </c>
    </row>
    <row r="5">
      <c r="A5" s="2" t="inlineStr">
        <is>
          <t>O2</t>
        </is>
      </c>
      <c r="B5" s="2" t="inlineStr">
        <is>
          <t>O2-W1</t>
        </is>
      </c>
      <c r="C5" s="2" t="inlineStr">
        <is>
          <t>FICTÍCIO – teste do motor</t>
        </is>
      </c>
      <c r="D5" s="2" t="inlineStr">
        <is>
          <t>FICTÍCIO – teste do motor</t>
        </is>
      </c>
      <c r="E5" s="2" t="inlineStr">
        <is>
          <t>FICTÍCIO – teste do motor</t>
        </is>
      </c>
      <c r="F5" s="2" t="inlineStr">
        <is>
          <t>2027-06</t>
        </is>
      </c>
      <c r="G5" s="2" t="inlineStr">
        <is>
          <t>nao_testada</t>
        </is>
      </c>
    </row>
    <row r="6">
      <c r="A6" s="2" t="inlineStr">
        <is>
          <t>O2</t>
        </is>
      </c>
      <c r="B6" s="2" t="inlineStr">
        <is>
          <t>O2-W2</t>
        </is>
      </c>
      <c r="C6" s="2" t="inlineStr">
        <is>
          <t>FICTÍCIO – teste do motor</t>
        </is>
      </c>
      <c r="D6" s="2" t="inlineStr">
        <is>
          <t>FICTÍCIO – teste do motor</t>
        </is>
      </c>
      <c r="E6" s="2" t="inlineStr">
        <is>
          <t>FICTÍCIO – teste do motor</t>
        </is>
      </c>
      <c r="F6" s="2" t="inlineStr">
        <is>
          <t>2027-06</t>
        </is>
      </c>
      <c r="G6" s="2" t="inlineStr">
        <is>
          <t>nao_testada</t>
        </is>
      </c>
    </row>
    <row r="7">
      <c r="A7" s="2" t="inlineStr">
        <is>
          <t>O2</t>
        </is>
      </c>
      <c r="B7" s="2" t="inlineStr">
        <is>
          <t>O2-W3</t>
        </is>
      </c>
      <c r="C7" s="2" t="inlineStr">
        <is>
          <t>FICTÍCIO – teste do motor</t>
        </is>
      </c>
      <c r="D7" s="2" t="inlineStr">
        <is>
          <t>FICTÍCIO – teste do motor</t>
        </is>
      </c>
      <c r="E7" s="2" t="inlineStr">
        <is>
          <t>FICTÍCIO – teste do motor</t>
        </is>
      </c>
      <c r="F7" s="2" t="inlineStr">
        <is>
          <t>2027-06</t>
        </is>
      </c>
      <c r="G7" s="2" t="inlineStr">
        <is>
          <t>nao_testada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2026-10-01T03:02:19Z</dcterms:created>
  <dcterms:modified xmlns:dcterms="http://purl.org/dc/terms/" xmlns:xsi="http://www.w3.org/2001/XMLSchema-instance" xsi:type="dcterms:W3CDTF">2026-10-01T03:02:19Z</dcterms:modified>
</cp:coreProperties>
</file>